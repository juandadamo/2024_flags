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a" sheetId="1" state="visible" r:id="rId3"/>
    <sheet name="Aserrada" sheetId="2" state="visible" r:id="rId4"/>
    <sheet name="Almenada" sheetId="3" state="visible" r:id="rId5"/>
    <sheet name="Almenada_old" sheetId="4" state="visible" r:id="rId6"/>
    <sheet name="Almenada2_old" sheetId="5" state="visible" r:id="rId7"/>
    <sheet name="Aserrada_old" sheetId="6" state="visible" r:id="rId8"/>
    <sheet name="Plana_old" sheetId="7" state="visible" r:id="rId9"/>
    <sheet name="Sheet2" sheetId="8" state="visible" r:id="rId10"/>
    <sheet name="Sheet3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<sst xmlns="http://schemas.openxmlformats.org/spreadsheetml/2006/main" count="102" uniqueCount="36">
  <si>
    <t xml:space="preserve">Variador[Hz]</t>
  </si>
  <si>
    <t xml:space="preserve">Pdin [Pa]</t>
  </si>
  <si>
    <t xml:space="preserve">Velocidad</t>
  </si>
  <si>
    <t xml:space="preserve">Video [hora]</t>
  </si>
  <si>
    <t xml:space="preserve">Observaciones</t>
  </si>
  <si>
    <t xml:space="preserve">Archivo</t>
  </si>
  <si>
    <t xml:space="preserve">Amplitud Min</t>
  </si>
  <si>
    <t xml:space="preserve">Amplitud Max</t>
  </si>
  <si>
    <t xml:space="preserve">Dx [mm]</t>
  </si>
  <si>
    <t xml:space="preserve">Frecuencia</t>
  </si>
  <si>
    <t xml:space="preserve">REFERENCIA</t>
  </si>
  <si>
    <t xml:space="preserve">Referencia x2</t>
  </si>
  <si>
    <t xml:space="preserve">DSC_7678.MOV</t>
  </si>
  <si>
    <t xml:space="preserve">DSC_7679.MOV</t>
  </si>
  <si>
    <t xml:space="preserve">DSC_7693.MOV</t>
  </si>
  <si>
    <t xml:space="preserve">DSC_7694.MOV</t>
  </si>
  <si>
    <t xml:space="preserve">Referencia</t>
  </si>
  <si>
    <t xml:space="preserve">DSC_7619.MOV</t>
  </si>
  <si>
    <t xml:space="preserve">onset</t>
  </si>
  <si>
    <t xml:space="preserve">DSC_7620.MOV</t>
  </si>
  <si>
    <t xml:space="preserve">DSC_7621.MOV</t>
  </si>
  <si>
    <t xml:space="preserve">DSC_7622.MOV</t>
  </si>
  <si>
    <t xml:space="preserve">DSC_7623.MOV</t>
  </si>
  <si>
    <t xml:space="preserve">offset</t>
  </si>
  <si>
    <t xml:space="preserve">DSC_7624.MOV</t>
  </si>
  <si>
    <t xml:space="preserve">DSC_7625.MOV</t>
  </si>
  <si>
    <t xml:space="preserve">DSC_7626.MOV</t>
  </si>
  <si>
    <t xml:space="preserve">DSC_7630.MOV</t>
  </si>
  <si>
    <t xml:space="preserve"> </t>
  </si>
  <si>
    <t xml:space="preserve">DSC_7631.MOV</t>
  </si>
  <si>
    <t xml:space="preserve">---</t>
  </si>
  <si>
    <t xml:space="preserve">Fuera de escala</t>
  </si>
  <si>
    <t xml:space="preserve">DSC_7644.MOV</t>
  </si>
  <si>
    <t xml:space="preserve">DSC_7645.MOV</t>
  </si>
  <si>
    <t xml:space="preserve">DSC_7646.MOV</t>
  </si>
  <si>
    <t xml:space="preserve">DSC_7661.MOV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</si>
</sst>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1325685149777"/>
          <c:y val="0.0745406824146982"/>
          <c:w val="0.723948374760994"/>
          <c:h val="0.83254593175853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Lisa!$D$5:$D$19</c:f>
              <c:numCache>
                <c:formatCode>General</c:formatCode>
                <c:ptCount val="15"/>
                <c:pt idx="0">
                  <c:v>10.682749702741</c:v>
                </c:pt>
                <c:pt idx="1">
                  <c:v>10.1558373071999</c:v>
                </c:pt>
                <c:pt idx="2">
                  <c:v>9.71189699334955</c:v>
                </c:pt>
                <c:pt idx="3">
                  <c:v>9.34349361902335</c:v>
                </c:pt>
                <c:pt idx="4">
                  <c:v>8.95995551373042</c:v>
                </c:pt>
                <c:pt idx="5">
                  <c:v>8.59073559175116</c:v>
                </c:pt>
                <c:pt idx="6">
                  <c:v>8.19394114005672</c:v>
                </c:pt>
                <c:pt idx="7">
                  <c:v>7.84605732875793</c:v>
                </c:pt>
                <c:pt idx="8">
                  <c:v>7.46997710877216</c:v>
                </c:pt>
                <c:pt idx="9">
                  <c:v>7.11199731475329</c:v>
                </c:pt>
                <c:pt idx="10">
                  <c:v>6.76169041028736</c:v>
                </c:pt>
                <c:pt idx="11">
                  <c:v>6.37811937831741</c:v>
                </c:pt>
                <c:pt idx="12">
                  <c:v>12.5499631479837</c:v>
                </c:pt>
                <c:pt idx="13">
                  <c:v>11.757609553554</c:v>
                </c:pt>
                <c:pt idx="14">
                  <c:v>11.0309209412527</c:v>
                </c:pt>
              </c:numCache>
            </c:numRef>
          </c:xVal>
          <c:yVal>
            <c:numRef>
              <c:f>Lisa!$J$5:$J$19</c:f>
              <c:numCache>
                <c:formatCode>General</c:formatCode>
                <c:ptCount val="15"/>
                <c:pt idx="0">
                  <c:v>94.0076955517622</c:v>
                </c:pt>
                <c:pt idx="1">
                  <c:v>92.3974495431268</c:v>
                </c:pt>
                <c:pt idx="2">
                  <c:v>85.2280208856311</c:v>
                </c:pt>
                <c:pt idx="3">
                  <c:v>87.1066412290391</c:v>
                </c:pt>
                <c:pt idx="4">
                  <c:v>86.6465709408575</c:v>
                </c:pt>
                <c:pt idx="5">
                  <c:v>84.5762546440406</c:v>
                </c:pt>
                <c:pt idx="6">
                  <c:v>81.9691896776785</c:v>
                </c:pt>
                <c:pt idx="7">
                  <c:v>74.7230826388192</c:v>
                </c:pt>
                <c:pt idx="8">
                  <c:v>75.2598313083643</c:v>
                </c:pt>
                <c:pt idx="9">
                  <c:v>75.2598313083643</c:v>
                </c:pt>
                <c:pt idx="10">
                  <c:v>68.1670810322322</c:v>
                </c:pt>
                <c:pt idx="11">
                  <c:v>0</c:v>
                </c:pt>
                <c:pt idx="12">
                  <c:v>106.314575760619</c:v>
                </c:pt>
                <c:pt idx="13">
                  <c:v>100.755393111758</c:v>
                </c:pt>
                <c:pt idx="14">
                  <c:v>97.1898483783512</c:v>
                </c:pt>
              </c:numCache>
            </c:numRef>
          </c:yVal>
          <c:smooth val="0"/>
        </c:ser>
        <c:axId val="58759454"/>
        <c:axId val="32500614"/>
      </c:scatterChart>
      <c:valAx>
        <c:axId val="587594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00614"/>
        <c:crosses val="autoZero"/>
        <c:crossBetween val="midCat"/>
      </c:valAx>
      <c:valAx>
        <c:axId val="32500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594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Aserrada!$D$5:$D$17</c:f>
              <c:numCache>
                <c:formatCode>General</c:formatCode>
                <c:ptCount val="13"/>
                <c:pt idx="0">
                  <c:v>12.7844293739042</c:v>
                </c:pt>
                <c:pt idx="1">
                  <c:v>12.592918081837</c:v>
                </c:pt>
                <c:pt idx="2">
                  <c:v>11.8110708665197</c:v>
                </c:pt>
                <c:pt idx="3">
                  <c:v>10.9818580400614</c:v>
                </c:pt>
                <c:pt idx="4">
                  <c:v>10.1292164558894</c:v>
                </c:pt>
                <c:pt idx="5">
                  <c:v>9.42978733635558</c:v>
                </c:pt>
                <c:pt idx="6">
                  <c:v>8.64295938943775</c:v>
                </c:pt>
                <c:pt idx="7">
                  <c:v>7.8575197999225</c:v>
                </c:pt>
                <c:pt idx="8">
                  <c:v>7.12464087551619</c:v>
                </c:pt>
                <c:pt idx="9">
                  <c:v>6.84108675611412</c:v>
                </c:pt>
                <c:pt idx="10">
                  <c:v>13.35596435372</c:v>
                </c:pt>
                <c:pt idx="11">
                  <c:v>14.1223933672712</c:v>
                </c:pt>
                <c:pt idx="12">
                  <c:v>14.8493166516864</c:v>
                </c:pt>
              </c:numCache>
            </c:numRef>
          </c:xVal>
          <c:yVal>
            <c:numRef>
              <c:f>Aserrada!$J$5:$J$17</c:f>
              <c:numCache>
                <c:formatCode>General</c:formatCode>
                <c:ptCount val="13"/>
                <c:pt idx="0">
                  <c:v>100.893272908367</c:v>
                </c:pt>
                <c:pt idx="1">
                  <c:v>103.289155378486</c:v>
                </c:pt>
                <c:pt idx="2">
                  <c:v>101.045392430279</c:v>
                </c:pt>
                <c:pt idx="3">
                  <c:v>110.400743027888</c:v>
                </c:pt>
                <c:pt idx="4">
                  <c:v>102.338408366534</c:v>
                </c:pt>
                <c:pt idx="5">
                  <c:v>99.7523764940239</c:v>
                </c:pt>
                <c:pt idx="6">
                  <c:v>98.9917788844621</c:v>
                </c:pt>
                <c:pt idx="7">
                  <c:v>94.0478944223108</c:v>
                </c:pt>
                <c:pt idx="8">
                  <c:v>77.9612549800797</c:v>
                </c:pt>
                <c:pt idx="9">
                  <c:v>0</c:v>
                </c:pt>
                <c:pt idx="10">
                  <c:v>100.246764940239</c:v>
                </c:pt>
                <c:pt idx="11">
                  <c:v>98.497390438247</c:v>
                </c:pt>
                <c:pt idx="12">
                  <c:v>98.3452709163347</c:v>
                </c:pt>
              </c:numCache>
            </c:numRef>
          </c:yVal>
          <c:smooth val="0"/>
        </c:ser>
        <c:axId val="90386282"/>
        <c:axId val="79022418"/>
      </c:scatterChart>
      <c:valAx>
        <c:axId val="903862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22418"/>
        <c:crosses val="autoZero"/>
        <c:crossBetween val="midCat"/>
      </c:valAx>
      <c:valAx>
        <c:axId val="79022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8628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5385166892376"/>
          <c:y val="0.0282115207977956"/>
          <c:w val="0.723970365649646"/>
          <c:h val="0.83256790447447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Almenada!$D$5:$D$12,Almenada!$D$14:$D$16</c:f>
              <c:numCache>
                <c:formatCode>General</c:formatCode>
                <c:ptCount val="11"/>
                <c:pt idx="0">
                  <c:v>13.9943545195762</c:v>
                </c:pt>
                <c:pt idx="1">
                  <c:v>13.3154711902257</c:v>
                </c:pt>
                <c:pt idx="2">
                  <c:v>12.5714589613061</c:v>
                </c:pt>
                <c:pt idx="3">
                  <c:v>11.8339089236822</c:v>
                </c:pt>
                <c:pt idx="4">
                  <c:v>10.9490272998102</c:v>
                </c:pt>
                <c:pt idx="5">
                  <c:v>10.1469714501567</c:v>
                </c:pt>
                <c:pt idx="6">
                  <c:v>9.32420878191249</c:v>
                </c:pt>
                <c:pt idx="7">
                  <c:v>8.58025268901575</c:v>
                </c:pt>
                <c:pt idx="8">
                  <c:v>14.903765337062</c:v>
                </c:pt>
                <c:pt idx="9">
                  <c:v>15.600078000585</c:v>
                </c:pt>
                <c:pt idx="10">
                  <c:v>16.3218462199177</c:v>
                </c:pt>
              </c:numCache>
            </c:numRef>
          </c:xVal>
          <c:yVal>
            <c:numRef>
              <c:f>Almenada!$J$5:$J$12,Almenada!$J$14:$J$16</c:f>
              <c:numCache>
                <c:formatCode>General</c:formatCode>
                <c:ptCount val="11"/>
                <c:pt idx="0">
                  <c:v>103.127983862834</c:v>
                </c:pt>
                <c:pt idx="1">
                  <c:v>100.855933434191</c:v>
                </c:pt>
                <c:pt idx="2">
                  <c:v>98.429845688351</c:v>
                </c:pt>
                <c:pt idx="3">
                  <c:v>91.3441290973273</c:v>
                </c:pt>
                <c:pt idx="4">
                  <c:v>82.833567322239</c:v>
                </c:pt>
                <c:pt idx="5">
                  <c:v>91.3826384266263</c:v>
                </c:pt>
                <c:pt idx="6">
                  <c:v>94.771459404942</c:v>
                </c:pt>
                <c:pt idx="7">
                  <c:v>81.1776661623802</c:v>
                </c:pt>
                <c:pt idx="8">
                  <c:v>104.09071709531</c:v>
                </c:pt>
                <c:pt idx="9">
                  <c:v>101.664629349471</c:v>
                </c:pt>
                <c:pt idx="10">
                  <c:v>104.244754412506</c:v>
                </c:pt>
              </c:numCache>
            </c:numRef>
          </c:yVal>
          <c:smooth val="0"/>
        </c:ser>
        <c:axId val="72254047"/>
        <c:axId val="13281572"/>
      </c:scatterChart>
      <c:valAx>
        <c:axId val="722540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81572"/>
        <c:crosses val="autoZero"/>
        <c:crossBetween val="midCat"/>
      </c:valAx>
      <c:valAx>
        <c:axId val="13281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540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71280</xdr:rowOff>
    </xdr:from>
    <xdr:to>
      <xdr:col>21</xdr:col>
      <xdr:colOff>304560</xdr:colOff>
      <xdr:row>17</xdr:row>
      <xdr:rowOff>147240</xdr:rowOff>
    </xdr:to>
    <xdr:graphicFrame>
      <xdr:nvGraphicFramePr>
        <xdr:cNvPr id="0" name="Chart 1"/>
        <xdr:cNvGraphicFramePr/>
      </xdr:nvGraphicFramePr>
      <xdr:xfrm>
        <a:off x="10551960" y="6429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466560</xdr:colOff>
      <xdr:row>4</xdr:row>
      <xdr:rowOff>166680</xdr:rowOff>
    </xdr:from>
    <xdr:to>
      <xdr:col>20</xdr:col>
      <xdr:colOff>161280</xdr:colOff>
      <xdr:row>19</xdr:row>
      <xdr:rowOff>52200</xdr:rowOff>
    </xdr:to>
    <xdr:graphicFrame>
      <xdr:nvGraphicFramePr>
        <xdr:cNvPr id="1" name="Chart 1"/>
        <xdr:cNvGraphicFramePr/>
      </xdr:nvGraphicFramePr>
      <xdr:xfrm>
        <a:off x="10204920" y="928800"/>
        <a:ext cx="45104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247680</xdr:colOff>
      <xdr:row>2</xdr:row>
      <xdr:rowOff>42840</xdr:rowOff>
    </xdr:from>
    <xdr:to>
      <xdr:col>21</xdr:col>
      <xdr:colOff>552240</xdr:colOff>
      <xdr:row>16</xdr:row>
      <xdr:rowOff>118800</xdr:rowOff>
    </xdr:to>
    <xdr:graphicFrame>
      <xdr:nvGraphicFramePr>
        <xdr:cNvPr id="2" name="Chart 1"/>
        <xdr:cNvGraphicFramePr/>
      </xdr:nvGraphicFramePr>
      <xdr:xfrm>
        <a:off x="10493280" y="423720"/>
        <a:ext cx="45187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35" activeCellId="0" sqref="H35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21.43"/>
    <col collapsed="false" customWidth="true" hidden="false" outlineLevel="0" max="6" min="6" style="0" width="12.86"/>
    <col collapsed="false" customWidth="true" hidden="false" outlineLevel="0" max="7" min="7" style="0" width="14.42"/>
    <col collapsed="false" customWidth="true" hidden="false" outlineLevel="0" max="8" min="8" style="0" width="11.57"/>
    <col collapsed="false" customWidth="true" hidden="false" outlineLevel="0" max="9" min="9" style="0" width="12.57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</row>
    <row r="3" customFormat="false" ht="15" hidden="false" customHeight="false" outlineLevel="0" collapsed="false">
      <c r="D3" s="0" t="n">
        <v>0</v>
      </c>
      <c r="F3" s="0" t="s">
        <v>10</v>
      </c>
      <c r="H3" s="0" t="n">
        <v>98.62</v>
      </c>
      <c r="I3" s="0" t="n">
        <v>297.8</v>
      </c>
      <c r="J3" s="0" t="n">
        <v>76.364</v>
      </c>
    </row>
    <row r="4" customFormat="false" ht="15" hidden="false" customHeight="false" outlineLevel="0" collapsed="false">
      <c r="D4" s="0" t="n">
        <f aca="false">SQRT(2*C4/1.1111)</f>
        <v>0</v>
      </c>
      <c r="F4" s="0" t="s">
        <v>11</v>
      </c>
      <c r="G4" s="0" t="s">
        <v>12</v>
      </c>
      <c r="H4" s="0" t="n">
        <v>1.5</v>
      </c>
      <c r="I4" s="0" t="n">
        <v>399.4</v>
      </c>
      <c r="J4" s="0" t="n">
        <f aca="false">(I4-H4)*$J$3/($I$3-$H$3)</f>
        <v>152.551639722864</v>
      </c>
    </row>
    <row r="5" customFormat="false" ht="15" hidden="false" customHeight="false" outlineLevel="0" collapsed="false">
      <c r="B5" s="0" t="n">
        <v>16.6</v>
      </c>
      <c r="C5" s="0" t="n">
        <v>63.4</v>
      </c>
      <c r="D5" s="0" t="n">
        <f aca="false">SQRT(2*C5/1.1111)</f>
        <v>10.682749702741</v>
      </c>
      <c r="G5" s="0" t="s">
        <v>13</v>
      </c>
      <c r="H5" s="0" t="n">
        <v>101.1</v>
      </c>
      <c r="I5" s="0" t="n">
        <v>346.3</v>
      </c>
      <c r="J5" s="0" t="n">
        <f aca="false">(I5-H5)*$J$3/($I$3-$H$3)</f>
        <v>94.0076955517622</v>
      </c>
      <c r="K5" s="0" t="n">
        <v>19.55</v>
      </c>
    </row>
    <row r="6" customFormat="false" ht="15" hidden="false" customHeight="false" outlineLevel="0" collapsed="false">
      <c r="B6" s="0" t="n">
        <v>16</v>
      </c>
      <c r="C6" s="0" t="n">
        <v>57.3</v>
      </c>
      <c r="D6" s="0" t="n">
        <f aca="false">SQRT(2*C6/1.1111)</f>
        <v>10.1558373071999</v>
      </c>
      <c r="H6" s="0" t="n">
        <v>96.5</v>
      </c>
      <c r="I6" s="0" t="n">
        <v>337.5</v>
      </c>
      <c r="J6" s="0" t="n">
        <f aca="false">(I6-H6)*$J$3/($I$3-$H$3)</f>
        <v>92.3974495431268</v>
      </c>
      <c r="K6" s="0" t="n">
        <v>18.07</v>
      </c>
    </row>
    <row r="7" customFormat="false" ht="15" hidden="false" customHeight="false" outlineLevel="0" collapsed="false">
      <c r="B7" s="0" t="n">
        <v>15.5</v>
      </c>
      <c r="C7" s="0" t="n">
        <v>52.4</v>
      </c>
      <c r="D7" s="0" t="n">
        <f aca="false">SQRT(2*C7/1.1111)</f>
        <v>9.71189699334955</v>
      </c>
      <c r="H7" s="0" t="n">
        <v>104.8</v>
      </c>
      <c r="I7" s="0" t="n">
        <v>327.1</v>
      </c>
      <c r="J7" s="0" t="n">
        <f aca="false">(I7-H7)*$J$3/($I$3-$H$3)</f>
        <v>85.2280208856311</v>
      </c>
      <c r="K7" s="0" t="n">
        <v>16.44</v>
      </c>
    </row>
    <row r="8" customFormat="false" ht="15" hidden="false" customHeight="false" outlineLevel="0" collapsed="false">
      <c r="B8" s="0" t="n">
        <v>15</v>
      </c>
      <c r="C8" s="0" t="n">
        <v>48.5</v>
      </c>
      <c r="D8" s="0" t="n">
        <f aca="false">SQRT(2*C8/1.1111)</f>
        <v>9.34349361902335</v>
      </c>
      <c r="H8" s="0" t="n">
        <v>104.9</v>
      </c>
      <c r="I8" s="0" t="n">
        <v>332.1</v>
      </c>
      <c r="J8" s="0" t="n">
        <f aca="false">(I8-H8)*$J$3/($I$3-$H$3)</f>
        <v>87.1066412290391</v>
      </c>
      <c r="K8" s="0" t="n">
        <v>15.83</v>
      </c>
    </row>
    <row r="9" customFormat="false" ht="15" hidden="false" customHeight="false" outlineLevel="0" collapsed="false">
      <c r="B9" s="0" t="n">
        <v>14.5</v>
      </c>
      <c r="C9" s="0" t="n">
        <v>44.6</v>
      </c>
      <c r="D9" s="0" t="n">
        <f aca="false">SQRT(2*C9/1.1111)</f>
        <v>8.95995551373042</v>
      </c>
      <c r="H9" s="0" t="n">
        <v>107</v>
      </c>
      <c r="I9" s="0" t="n">
        <v>333</v>
      </c>
      <c r="J9" s="0" t="n">
        <f aca="false">(I9-H9)*$J$3/($I$3-$H$3)</f>
        <v>86.6465709408575</v>
      </c>
      <c r="K9" s="0" t="n">
        <v>15</v>
      </c>
    </row>
    <row r="10" customFormat="false" ht="15" hidden="false" customHeight="false" outlineLevel="0" collapsed="false">
      <c r="B10" s="0" t="n">
        <v>14</v>
      </c>
      <c r="C10" s="0" t="n">
        <v>41</v>
      </c>
      <c r="D10" s="0" t="n">
        <f aca="false">SQRT(2*C10/1.1111)</f>
        <v>8.59073559175116</v>
      </c>
      <c r="H10" s="0" t="n">
        <v>115.3</v>
      </c>
      <c r="I10" s="0" t="n">
        <v>335.9</v>
      </c>
      <c r="J10" s="0" t="n">
        <f aca="false">(I10-H10)*$J$3/($I$3-$H$3)</f>
        <v>84.5762546440406</v>
      </c>
      <c r="K10" s="0" t="n">
        <v>14.3</v>
      </c>
    </row>
    <row r="11" customFormat="false" ht="15" hidden="false" customHeight="false" outlineLevel="0" collapsed="false">
      <c r="B11" s="0" t="n">
        <v>13.5</v>
      </c>
      <c r="C11" s="0" t="n">
        <v>37.3</v>
      </c>
      <c r="D11" s="0" t="n">
        <f aca="false">SQRT(2*C11/1.1111)</f>
        <v>8.19394114005672</v>
      </c>
      <c r="H11" s="0" t="n">
        <v>114.5</v>
      </c>
      <c r="I11" s="0" t="n">
        <v>328.3</v>
      </c>
      <c r="J11" s="0" t="n">
        <f aca="false">(I11-H11)*$J$3/($I$3-$H$3)</f>
        <v>81.9691896776785</v>
      </c>
      <c r="K11" s="0" t="n">
        <v>13.26</v>
      </c>
    </row>
    <row r="12" customFormat="false" ht="15" hidden="false" customHeight="false" outlineLevel="0" collapsed="false">
      <c r="B12" s="0" t="n">
        <v>13</v>
      </c>
      <c r="C12" s="0" t="n">
        <v>34.2</v>
      </c>
      <c r="D12" s="0" t="n">
        <f aca="false">SQRT(2*C12/1.1111)</f>
        <v>7.84605732875793</v>
      </c>
      <c r="H12" s="0" t="n">
        <v>123.3</v>
      </c>
      <c r="I12" s="0" t="n">
        <v>318.2</v>
      </c>
      <c r="J12" s="0" t="n">
        <f aca="false">(I12-H12)*$J$3/($I$3-$H$3)</f>
        <v>74.7230826388192</v>
      </c>
      <c r="K12" s="0" t="n">
        <v>12.11</v>
      </c>
    </row>
    <row r="13" customFormat="false" ht="15" hidden="false" customHeight="false" outlineLevel="0" collapsed="false">
      <c r="B13" s="0" t="n">
        <v>12.5</v>
      </c>
      <c r="C13" s="0" t="n">
        <v>31</v>
      </c>
      <c r="D13" s="0" t="n">
        <f aca="false">SQRT(2*C13/1.1111)</f>
        <v>7.46997710877216</v>
      </c>
      <c r="H13" s="0" t="n">
        <v>121.6</v>
      </c>
      <c r="I13" s="0" t="n">
        <v>317.9</v>
      </c>
      <c r="J13" s="0" t="n">
        <f aca="false">(I13-H13)*$J$3/($I$3-$H$3)</f>
        <v>75.2598313083643</v>
      </c>
      <c r="K13" s="0" t="n">
        <v>11.17</v>
      </c>
    </row>
    <row r="14" customFormat="false" ht="15" hidden="false" customHeight="false" outlineLevel="0" collapsed="false">
      <c r="B14" s="0" t="n">
        <v>12</v>
      </c>
      <c r="C14" s="0" t="n">
        <v>28.1</v>
      </c>
      <c r="D14" s="0" t="n">
        <f aca="false">SQRT(2*C14/1.1111)</f>
        <v>7.11199731475329</v>
      </c>
      <c r="H14" s="0" t="n">
        <v>117.4</v>
      </c>
      <c r="I14" s="0" t="n">
        <v>313.7</v>
      </c>
      <c r="J14" s="0" t="n">
        <f aca="false">(I14-H14)*$J$3/($I$3-$H$3)</f>
        <v>75.2598313083643</v>
      </c>
      <c r="K14" s="0" t="n">
        <v>10.65</v>
      </c>
    </row>
    <row r="15" customFormat="false" ht="15" hidden="false" customHeight="false" outlineLevel="0" collapsed="false">
      <c r="B15" s="0" t="n">
        <v>11.5</v>
      </c>
      <c r="C15" s="0" t="n">
        <v>25.4</v>
      </c>
      <c r="D15" s="0" t="n">
        <f aca="false">SQRT(2*C15/1.1111)</f>
        <v>6.76169041028736</v>
      </c>
      <c r="H15" s="0" t="n">
        <v>126.2</v>
      </c>
      <c r="I15" s="0" t="n">
        <v>304</v>
      </c>
      <c r="J15" s="1" t="n">
        <f aca="false">(I15-H15)*$J$3/($I$3-$H$3)</f>
        <v>68.1670810322322</v>
      </c>
      <c r="K15" s="0" t="n">
        <v>10.47</v>
      </c>
    </row>
    <row r="16" customFormat="false" ht="15" hidden="false" customHeight="false" outlineLevel="0" collapsed="false">
      <c r="B16" s="0" t="n">
        <v>11</v>
      </c>
      <c r="C16" s="0" t="n">
        <v>22.6</v>
      </c>
      <c r="D16" s="0" t="n">
        <f aca="false">SQRT(2*C16/1.1111)</f>
        <v>6.37811937831741</v>
      </c>
      <c r="J16" s="0" t="n">
        <f aca="false">(I16-H16)*$J$3/($I$3-$H$3)</f>
        <v>0</v>
      </c>
    </row>
    <row r="17" customFormat="false" ht="15" hidden="false" customHeight="false" outlineLevel="0" collapsed="false">
      <c r="B17" s="0" t="n">
        <v>19</v>
      </c>
      <c r="C17" s="0" t="n">
        <v>87.5</v>
      </c>
      <c r="D17" s="0" t="n">
        <f aca="false">SQRT(2*C17/1.1111)</f>
        <v>12.5499631479837</v>
      </c>
      <c r="H17" s="0" t="n">
        <v>82</v>
      </c>
      <c r="I17" s="0" t="n">
        <v>359.3</v>
      </c>
      <c r="J17" s="0" t="n">
        <f aca="false">(I17-H17)*$J$3/($I$3-$H$3)</f>
        <v>106.314575760619</v>
      </c>
      <c r="K17" s="0" t="n">
        <v>23.11</v>
      </c>
    </row>
    <row r="18" customFormat="false" ht="15" hidden="false" customHeight="false" outlineLevel="0" collapsed="false">
      <c r="B18" s="0" t="n">
        <v>18</v>
      </c>
      <c r="C18" s="0" t="n">
        <v>76.8</v>
      </c>
      <c r="D18" s="0" t="n">
        <f aca="false">SQRT(2*C18/1.1111)</f>
        <v>11.757609553554</v>
      </c>
      <c r="H18" s="0" t="n">
        <v>93.6</v>
      </c>
      <c r="I18" s="0" t="n">
        <v>356.4</v>
      </c>
      <c r="J18" s="0" t="n">
        <f aca="false">(I18-H18)*$J$3/($I$3-$H$3)</f>
        <v>100.755393111758</v>
      </c>
      <c r="K18" s="0" t="n">
        <v>20.83</v>
      </c>
    </row>
    <row r="19" customFormat="false" ht="15" hidden="false" customHeight="false" outlineLevel="0" collapsed="false">
      <c r="B19" s="0" t="n">
        <v>17</v>
      </c>
      <c r="C19" s="0" t="n">
        <v>67.6</v>
      </c>
      <c r="D19" s="0" t="n">
        <f aca="false">SQRT(2*C19/1.1111)</f>
        <v>11.0309209412527</v>
      </c>
      <c r="H19" s="0" t="n">
        <v>95.3</v>
      </c>
      <c r="I19" s="0" t="n">
        <v>348.8</v>
      </c>
      <c r="J19" s="0" t="n">
        <f aca="false">(I19-H19)*$J$3/($I$3-$H$3)</f>
        <v>97.1898483783512</v>
      </c>
      <c r="K19" s="0" t="n">
        <v>19.56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20" activeCellId="0" sqref="H20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21.43"/>
    <col collapsed="false" customWidth="true" hidden="false" outlineLevel="0" max="7" min="7" style="0" width="18.42"/>
    <col collapsed="false" customWidth="true" hidden="false" outlineLevel="0" max="8" min="8" style="0" width="14.57"/>
    <col collapsed="false" customWidth="true" hidden="false" outlineLevel="0" max="9" min="9" style="0" width="15.42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</row>
    <row r="3" customFormat="false" ht="15" hidden="false" customHeight="false" outlineLevel="0" collapsed="false">
      <c r="D3" s="0" t="n">
        <v>0</v>
      </c>
      <c r="F3" s="0" t="s">
        <v>10</v>
      </c>
      <c r="G3" s="0" t="s">
        <v>14</v>
      </c>
      <c r="H3" s="0" t="n">
        <v>184.8</v>
      </c>
      <c r="I3" s="0" t="n">
        <v>385.6</v>
      </c>
      <c r="J3" s="0" t="n">
        <v>76.364</v>
      </c>
    </row>
    <row r="4" customFormat="false" ht="15" hidden="false" customHeight="false" outlineLevel="0" collapsed="false">
      <c r="D4" s="0" t="n">
        <f aca="false">SQRT(2*C4/1.1111)</f>
        <v>0</v>
      </c>
      <c r="F4" s="0" t="s">
        <v>11</v>
      </c>
      <c r="H4" s="0" t="n">
        <v>6.5</v>
      </c>
      <c r="I4" s="0" t="n">
        <v>385.6</v>
      </c>
      <c r="J4" s="0" t="n">
        <f aca="false">(I4-H4)*$J$3/($I$3-$H$3)</f>
        <v>144.17127689243</v>
      </c>
    </row>
    <row r="5" customFormat="false" ht="15" hidden="false" customHeight="false" outlineLevel="0" collapsed="false">
      <c r="B5" s="0" t="n">
        <v>19.3</v>
      </c>
      <c r="C5" s="0" t="n">
        <v>90.8</v>
      </c>
      <c r="D5" s="0" t="n">
        <f aca="false">SQRT(2*C5/1.1111)</f>
        <v>12.7844293739042</v>
      </c>
      <c r="G5" s="0" t="s">
        <v>15</v>
      </c>
      <c r="H5" s="0" t="n">
        <v>89.4</v>
      </c>
      <c r="I5" s="0" t="n">
        <v>354.7</v>
      </c>
      <c r="J5" s="0" t="n">
        <f aca="false">(I5-H5)*$J$3/($I$3-$H$3)</f>
        <v>100.893272908367</v>
      </c>
      <c r="K5" s="0" t="n">
        <v>23.85</v>
      </c>
    </row>
    <row r="6" customFormat="false" ht="15" hidden="false" customHeight="false" outlineLevel="0" collapsed="false">
      <c r="B6" s="0" t="n">
        <v>19</v>
      </c>
      <c r="C6" s="0" t="n">
        <v>88.1</v>
      </c>
      <c r="D6" s="0" t="n">
        <f aca="false">SQRT(2*C6/1.1111)</f>
        <v>12.592918081837</v>
      </c>
      <c r="H6" s="0" t="n">
        <v>82.7</v>
      </c>
      <c r="I6" s="0" t="n">
        <v>354.3</v>
      </c>
      <c r="J6" s="0" t="n">
        <f aca="false">(I6-H6)*$J$3/($I$3-$H$3)</f>
        <v>103.289155378486</v>
      </c>
      <c r="K6" s="0" t="n">
        <v>23.37</v>
      </c>
    </row>
    <row r="7" customFormat="false" ht="15" hidden="false" customHeight="false" outlineLevel="0" collapsed="false">
      <c r="B7" s="0" t="n">
        <v>18</v>
      </c>
      <c r="C7" s="0" t="n">
        <v>77.5</v>
      </c>
      <c r="D7" s="0" t="n">
        <f aca="false">SQRT(2*C7/1.1111)</f>
        <v>11.8110708665197</v>
      </c>
      <c r="H7" s="0" t="n">
        <v>88.1</v>
      </c>
      <c r="I7" s="0" t="n">
        <v>353.8</v>
      </c>
      <c r="J7" s="0" t="n">
        <f aca="false">(I7-H7)*$J$3/($I$3-$H$3)</f>
        <v>101.045392430279</v>
      </c>
      <c r="K7" s="0" t="n">
        <v>21.37</v>
      </c>
    </row>
    <row r="8" customFormat="false" ht="15" hidden="false" customHeight="false" outlineLevel="0" collapsed="false">
      <c r="B8" s="0" t="n">
        <v>17</v>
      </c>
      <c r="C8" s="0" t="n">
        <v>67</v>
      </c>
      <c r="D8" s="0" t="n">
        <f aca="false">SQRT(2*C8/1.1111)</f>
        <v>10.9818580400614</v>
      </c>
      <c r="H8" s="0" t="n">
        <v>68.5</v>
      </c>
      <c r="I8" s="0" t="n">
        <v>358.8</v>
      </c>
      <c r="J8" s="0" t="n">
        <f aca="false">(I8-H8)*$J$3/($I$3-$H$3)</f>
        <v>110.400743027888</v>
      </c>
      <c r="K8" s="0" t="n">
        <v>19.89</v>
      </c>
    </row>
    <row r="9" customFormat="false" ht="15" hidden="false" customHeight="false" outlineLevel="0" collapsed="false">
      <c r="B9" s="0" t="n">
        <v>16</v>
      </c>
      <c r="C9" s="0" t="n">
        <v>57</v>
      </c>
      <c r="D9" s="0" t="n">
        <f aca="false">SQRT(2*C9/1.1111)</f>
        <v>10.1292164558894</v>
      </c>
      <c r="H9" s="0" t="n">
        <v>81</v>
      </c>
      <c r="I9" s="0" t="n">
        <v>350.1</v>
      </c>
      <c r="J9" s="0" t="n">
        <f aca="false">(I9-H9)*$J$3/($I$3-$H$3)</f>
        <v>102.338408366534</v>
      </c>
      <c r="K9" s="0" t="n">
        <v>18.13</v>
      </c>
    </row>
    <row r="10" customFormat="false" ht="15" hidden="false" customHeight="false" outlineLevel="0" collapsed="false">
      <c r="B10" s="0" t="n">
        <v>15</v>
      </c>
      <c r="C10" s="0" t="n">
        <v>49.4</v>
      </c>
      <c r="D10" s="0" t="n">
        <f aca="false">SQRT(2*C10/1.1111)</f>
        <v>9.42978733635558</v>
      </c>
      <c r="H10" s="0" t="n">
        <v>84.4</v>
      </c>
      <c r="I10" s="0" t="n">
        <v>346.7</v>
      </c>
      <c r="J10" s="0" t="n">
        <f aca="false">(I10-H10)*$J$3/($I$3-$H$3)</f>
        <v>99.7523764940239</v>
      </c>
      <c r="K10" s="0" t="n">
        <v>15.69</v>
      </c>
    </row>
    <row r="11" customFormat="false" ht="15" hidden="false" customHeight="false" outlineLevel="0" collapsed="false">
      <c r="B11" s="0" t="n">
        <v>14</v>
      </c>
      <c r="C11" s="0" t="n">
        <v>41.5</v>
      </c>
      <c r="D11" s="0" t="n">
        <f aca="false">SQRT(2*C11/1.1111)</f>
        <v>8.64295938943775</v>
      </c>
      <c r="H11" s="0" t="n">
        <v>80.6</v>
      </c>
      <c r="I11" s="0" t="n">
        <v>340.9</v>
      </c>
      <c r="J11" s="0" t="n">
        <f aca="false">(I11-H11)*$J$3/($I$3-$H$3)</f>
        <v>98.9917788844621</v>
      </c>
      <c r="K11" s="0" t="n">
        <v>14.49</v>
      </c>
    </row>
    <row r="12" customFormat="false" ht="15" hidden="false" customHeight="false" outlineLevel="0" collapsed="false">
      <c r="B12" s="0" t="n">
        <v>13</v>
      </c>
      <c r="C12" s="0" t="n">
        <v>34.3</v>
      </c>
      <c r="D12" s="0" t="n">
        <f aca="false">SQRT(2*C12/1.1111)</f>
        <v>7.8575197999225</v>
      </c>
      <c r="H12" s="0" t="n">
        <v>81</v>
      </c>
      <c r="I12" s="0" t="n">
        <v>328.3</v>
      </c>
      <c r="J12" s="0" t="n">
        <f aca="false">(I12-H12)*$J$3/($I$3-$H$3)</f>
        <v>94.0478944223108</v>
      </c>
      <c r="K12" s="0" t="n">
        <v>13.62</v>
      </c>
    </row>
    <row r="13" customFormat="false" ht="15" hidden="false" customHeight="false" outlineLevel="0" collapsed="false">
      <c r="B13" s="0" t="n">
        <v>12</v>
      </c>
      <c r="C13" s="0" t="n">
        <v>28.2</v>
      </c>
      <c r="D13" s="0" t="n">
        <f aca="false">SQRT(2*C13/1.1111)</f>
        <v>7.12464087551619</v>
      </c>
      <c r="H13" s="0" t="n">
        <v>101.1</v>
      </c>
      <c r="I13" s="0" t="n">
        <v>306.1</v>
      </c>
      <c r="J13" s="0" t="n">
        <f aca="false">(I13-H13)*$J$3/($I$3-$H$3)</f>
        <v>77.9612549800797</v>
      </c>
      <c r="K13" s="0" t="n">
        <v>12.8</v>
      </c>
    </row>
    <row r="14" customFormat="false" ht="15" hidden="false" customHeight="false" outlineLevel="0" collapsed="false">
      <c r="B14" s="0" t="n">
        <v>11.5</v>
      </c>
      <c r="C14" s="0" t="n">
        <v>26</v>
      </c>
      <c r="D14" s="0" t="n">
        <f aca="false">SQRT(2*C14/1.1111)</f>
        <v>6.84108675611412</v>
      </c>
      <c r="H14" s="0" t="n">
        <v>0</v>
      </c>
      <c r="I14" s="0" t="n">
        <v>0</v>
      </c>
      <c r="J14" s="0" t="n">
        <f aca="false">(I14-H14)*$J$3/($I$3-$H$3)</f>
        <v>0</v>
      </c>
    </row>
    <row r="15" customFormat="false" ht="15" hidden="false" customHeight="false" outlineLevel="0" collapsed="false">
      <c r="B15" s="0" t="n">
        <v>20</v>
      </c>
      <c r="C15" s="0" t="n">
        <v>99.1</v>
      </c>
      <c r="D15" s="0" t="n">
        <f aca="false">SQRT(2*C15/1.1111)</f>
        <v>13.35596435372</v>
      </c>
      <c r="H15" s="0" t="n">
        <v>89.8</v>
      </c>
      <c r="I15" s="0" t="n">
        <v>353.4</v>
      </c>
      <c r="J15" s="1" t="n">
        <f aca="false">(I15-H15)*$J$3/($I$3-$H$3)</f>
        <v>100.246764940239</v>
      </c>
      <c r="K15" s="0" t="n">
        <v>25.21</v>
      </c>
    </row>
    <row r="16" customFormat="false" ht="15" hidden="false" customHeight="false" outlineLevel="0" collapsed="false">
      <c r="B16" s="0" t="n">
        <v>21</v>
      </c>
      <c r="C16" s="0" t="n">
        <v>110.8</v>
      </c>
      <c r="D16" s="0" t="n">
        <f aca="false">SQRT(2*C16/1.1111)</f>
        <v>14.1223933672712</v>
      </c>
      <c r="H16" s="0" t="n">
        <v>88.6</v>
      </c>
      <c r="I16" s="0" t="n">
        <v>347.6</v>
      </c>
      <c r="J16" s="0" t="n">
        <f aca="false">(I16-H16)*$J$3/($I$3-$H$3)</f>
        <v>98.497390438247</v>
      </c>
      <c r="K16" s="0" t="n">
        <v>27.41</v>
      </c>
    </row>
    <row r="17" customFormat="false" ht="15" hidden="false" customHeight="false" outlineLevel="0" collapsed="false">
      <c r="B17" s="0" t="n">
        <v>22</v>
      </c>
      <c r="C17" s="0" t="n">
        <v>122.5</v>
      </c>
      <c r="D17" s="0" t="n">
        <f aca="false">SQRT(2*C17/1.1111)</f>
        <v>14.8493166516864</v>
      </c>
      <c r="H17" s="0" t="n">
        <v>87.7</v>
      </c>
      <c r="I17" s="0" t="n">
        <v>346.3</v>
      </c>
      <c r="J17" s="0" t="n">
        <f aca="false">(I17-H17)*$J$3/($I$3-$H$3)</f>
        <v>98.3452709163347</v>
      </c>
      <c r="K17" s="0" t="n">
        <v>29.71</v>
      </c>
    </row>
    <row r="18" customFormat="false" ht="15" hidden="false" customHeight="false" outlineLevel="0" collapsed="false">
      <c r="D18" s="0" t="n">
        <f aca="false">SQRT(2*C18/1.1111)</f>
        <v>0</v>
      </c>
      <c r="J18" s="0" t="n">
        <f aca="false">(I18-H18)*$J$3/($I$3-$H$3)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2" activeCellId="0" sqref="O22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21.43"/>
    <col collapsed="false" customWidth="true" hidden="false" outlineLevel="0" max="8" min="8" style="0" width="14.57"/>
    <col collapsed="false" customWidth="true" hidden="false" outlineLevel="0" max="9" min="9" style="0" width="15.42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</row>
    <row r="3" customFormat="false" ht="15" hidden="false" customHeight="false" outlineLevel="0" collapsed="false">
      <c r="D3" s="0" t="n">
        <v>0</v>
      </c>
      <c r="F3" s="0" t="s">
        <v>16</v>
      </c>
      <c r="H3" s="0" t="n">
        <v>104.5</v>
      </c>
      <c r="I3" s="0" t="n">
        <v>302.8</v>
      </c>
      <c r="J3" s="0" t="n">
        <v>76.364</v>
      </c>
    </row>
    <row r="4" customFormat="false" ht="15" hidden="false" customHeight="false" outlineLevel="0" collapsed="false">
      <c r="D4" s="0" t="n">
        <f aca="false">SQRT(2*C4/1.1111)</f>
        <v>0</v>
      </c>
      <c r="H4" s="0" t="n">
        <v>6.98</v>
      </c>
      <c r="I4" s="0" t="n">
        <v>400.7</v>
      </c>
      <c r="J4" s="0" t="n">
        <f aca="false">(I4-H4)*$J$3/($I$3-$H$3)</f>
        <v>151.618931316188</v>
      </c>
    </row>
    <row r="5" customFormat="false" ht="15" hidden="false" customHeight="false" outlineLevel="0" collapsed="false">
      <c r="B5" s="0" t="n">
        <v>20.9</v>
      </c>
      <c r="C5" s="0" t="n">
        <v>108.8</v>
      </c>
      <c r="D5" s="0" t="n">
        <f aca="false">SQRT(2*C5/1.1111)</f>
        <v>13.9943545195762</v>
      </c>
      <c r="H5" s="0" t="n">
        <v>61.8</v>
      </c>
      <c r="I5" s="0" t="n">
        <v>329.6</v>
      </c>
      <c r="J5" s="0" t="n">
        <f aca="false">(I5-H5)*$J$3/($I$3-$H$3)</f>
        <v>103.127983862834</v>
      </c>
      <c r="K5" s="0" t="n">
        <v>24.78</v>
      </c>
    </row>
    <row r="6" customFormat="false" ht="15" hidden="false" customHeight="false" outlineLevel="0" collapsed="false">
      <c r="B6" s="0" t="n">
        <v>20</v>
      </c>
      <c r="C6" s="0" t="n">
        <v>98.5</v>
      </c>
      <c r="D6" s="0" t="n">
        <f aca="false">SQRT(2*C6/1.1111)</f>
        <v>13.3154711902257</v>
      </c>
      <c r="H6" s="0" t="n">
        <v>63.5</v>
      </c>
      <c r="I6" s="0" t="n">
        <v>325.4</v>
      </c>
      <c r="J6" s="0" t="n">
        <f aca="false">(I6-H6)*$J$3/($I$3-$H$3)</f>
        <v>100.855933434191</v>
      </c>
      <c r="K6" s="0" t="n">
        <v>23.53</v>
      </c>
    </row>
    <row r="7" customFormat="false" ht="15" hidden="false" customHeight="false" outlineLevel="0" collapsed="false">
      <c r="B7" s="0" t="n">
        <v>19</v>
      </c>
      <c r="C7" s="0" t="n">
        <v>87.8</v>
      </c>
      <c r="D7" s="0" t="n">
        <f aca="false">SQRT(2*C7/1.1111)</f>
        <v>12.5714589613061</v>
      </c>
      <c r="H7" s="0" t="n">
        <v>66</v>
      </c>
      <c r="I7" s="0" t="n">
        <v>321.6</v>
      </c>
      <c r="J7" s="0" t="n">
        <f aca="false">(I7-H7)*$J$3/($I$3-$H$3)</f>
        <v>98.429845688351</v>
      </c>
      <c r="K7" s="0" t="n">
        <v>22.56</v>
      </c>
    </row>
    <row r="8" customFormat="false" ht="15" hidden="false" customHeight="false" outlineLevel="0" collapsed="false">
      <c r="B8" s="0" t="n">
        <v>18</v>
      </c>
      <c r="C8" s="0" t="n">
        <v>77.8</v>
      </c>
      <c r="D8" s="0" t="n">
        <f aca="false">SQRT(2*C8/1.1111)</f>
        <v>11.8339089236822</v>
      </c>
      <c r="H8" s="0" t="n">
        <v>73.1</v>
      </c>
      <c r="I8" s="0" t="n">
        <v>310.3</v>
      </c>
      <c r="J8" s="0" t="n">
        <f aca="false">(I8-H8)*$J$3/($I$3-$H$3)</f>
        <v>91.3441290973273</v>
      </c>
      <c r="K8" s="0" t="n">
        <v>21.08</v>
      </c>
    </row>
    <row r="9" customFormat="false" ht="15" hidden="false" customHeight="false" outlineLevel="0" collapsed="false">
      <c r="B9" s="0" t="n">
        <v>17</v>
      </c>
      <c r="C9" s="0" t="n">
        <v>66.6</v>
      </c>
      <c r="D9" s="0" t="n">
        <f aca="false">SQRT(2*C9/1.1111)</f>
        <v>10.9490272998102</v>
      </c>
      <c r="H9" s="0" t="n">
        <v>82.7</v>
      </c>
      <c r="I9" s="0" t="n">
        <v>297.8</v>
      </c>
      <c r="J9" s="0" t="n">
        <f aca="false">(I9-H9)*$J$3/($I$3-$H$3)</f>
        <v>82.833567322239</v>
      </c>
      <c r="K9" s="0" t="n">
        <v>19.29</v>
      </c>
    </row>
    <row r="10" customFormat="false" ht="15" hidden="false" customHeight="false" outlineLevel="0" collapsed="false">
      <c r="B10" s="0" t="n">
        <v>16</v>
      </c>
      <c r="C10" s="0" t="n">
        <v>57.2</v>
      </c>
      <c r="D10" s="0" t="n">
        <f aca="false">SQRT(2*C10/1.1111)</f>
        <v>10.1469714501567</v>
      </c>
      <c r="H10" s="0" t="n">
        <v>81.4</v>
      </c>
      <c r="I10" s="0" t="n">
        <v>318.7</v>
      </c>
      <c r="J10" s="0" t="n">
        <f aca="false">(I10-H10)*$J$3/($I$3-$H$3)</f>
        <v>91.3826384266263</v>
      </c>
      <c r="K10" s="0" t="n">
        <v>15.2</v>
      </c>
    </row>
    <row r="11" customFormat="false" ht="15" hidden="false" customHeight="false" outlineLevel="0" collapsed="false">
      <c r="B11" s="0" t="n">
        <v>15</v>
      </c>
      <c r="C11" s="0" t="n">
        <v>48.3</v>
      </c>
      <c r="D11" s="0" t="n">
        <f aca="false">SQRT(2*C11/1.1111)</f>
        <v>9.32420878191249</v>
      </c>
      <c r="H11" s="0" t="n">
        <v>81.4</v>
      </c>
      <c r="I11" s="0" t="n">
        <v>327.5</v>
      </c>
      <c r="J11" s="0" t="n">
        <f aca="false">(I11-H11)*$J$3/($I$3-$H$3)</f>
        <v>94.771459404942</v>
      </c>
      <c r="K11" s="0" t="n">
        <v>13.83</v>
      </c>
    </row>
    <row r="12" customFormat="false" ht="15" hidden="false" customHeight="false" outlineLevel="0" collapsed="false">
      <c r="B12" s="0" t="n">
        <v>14</v>
      </c>
      <c r="C12" s="0" t="n">
        <v>40.9</v>
      </c>
      <c r="D12" s="0" t="n">
        <f aca="false">SQRT(2*C12/1.1111)</f>
        <v>8.58025268901575</v>
      </c>
      <c r="H12" s="0" t="n">
        <v>99.5</v>
      </c>
      <c r="I12" s="0" t="n">
        <v>310.3</v>
      </c>
      <c r="J12" s="0" t="n">
        <f aca="false">(I12-H12)*$J$3/($I$3-$H$3)</f>
        <v>81.1776661623802</v>
      </c>
      <c r="K12" s="0" t="n">
        <v>12.58</v>
      </c>
    </row>
    <row r="13" customFormat="false" ht="15" hidden="false" customHeight="false" outlineLevel="0" collapsed="false">
      <c r="B13" s="0" t="n">
        <v>13.5</v>
      </c>
      <c r="C13" s="0" t="n">
        <v>0</v>
      </c>
      <c r="D13" s="0" t="n">
        <f aca="false">SQRT(2*C13/1.1111)</f>
        <v>0</v>
      </c>
      <c r="J13" s="0" t="n">
        <f aca="false">(I13-H13)*$J$3/($I$3-$H$3)</f>
        <v>0</v>
      </c>
    </row>
    <row r="14" customFormat="false" ht="15" hidden="false" customHeight="false" outlineLevel="0" collapsed="false">
      <c r="B14" s="0" t="n">
        <v>22</v>
      </c>
      <c r="C14" s="0" t="n">
        <v>123.4</v>
      </c>
      <c r="D14" s="0" t="n">
        <f aca="false">SQRT(2*C14/1.1111)</f>
        <v>14.903765337062</v>
      </c>
      <c r="H14" s="0" t="n">
        <v>63</v>
      </c>
      <c r="I14" s="0" t="n">
        <v>333.3</v>
      </c>
      <c r="J14" s="0" t="n">
        <f aca="false">(I14-H14)*$J$3/($I$3-$H$3)</f>
        <v>104.09071709531</v>
      </c>
      <c r="K14" s="0" t="n">
        <v>26.22</v>
      </c>
    </row>
    <row r="15" customFormat="false" ht="15" hidden="false" customHeight="false" outlineLevel="0" collapsed="false">
      <c r="B15" s="0" t="n">
        <v>23</v>
      </c>
      <c r="C15" s="0" t="n">
        <v>135.2</v>
      </c>
      <c r="D15" s="0" t="n">
        <f aca="false">SQRT(2*C15/1.1111)</f>
        <v>15.600078000585</v>
      </c>
      <c r="H15" s="0" t="n">
        <v>71.4</v>
      </c>
      <c r="I15" s="0" t="n">
        <v>335.4</v>
      </c>
      <c r="J15" s="1" t="n">
        <f aca="false">(I15-H15)*$J$3/($I$3-$H$3)</f>
        <v>101.664629349471</v>
      </c>
      <c r="K15" s="0" t="n">
        <v>27.33</v>
      </c>
    </row>
    <row r="16" customFormat="false" ht="15" hidden="false" customHeight="false" outlineLevel="0" collapsed="false">
      <c r="B16" s="0" t="n">
        <v>24</v>
      </c>
      <c r="C16" s="0" t="n">
        <v>148</v>
      </c>
      <c r="D16" s="0" t="n">
        <f aca="false">SQRT(2*C16/1.1111)</f>
        <v>16.3218462199177</v>
      </c>
      <c r="H16" s="0" t="n">
        <v>70.6</v>
      </c>
      <c r="I16" s="0" t="n">
        <v>341.3</v>
      </c>
      <c r="J16" s="0" t="n">
        <f aca="false">(I16-H16)*$J$3/($I$3-$H$3)</f>
        <v>104.244754412506</v>
      </c>
      <c r="K16" s="0" t="n">
        <v>28.41</v>
      </c>
    </row>
    <row r="17" customFormat="false" ht="15" hidden="false" customHeight="false" outlineLevel="0" collapsed="false">
      <c r="D17" s="0" t="n">
        <f aca="false">SQRT(2*C17/1.1111)</f>
        <v>0</v>
      </c>
      <c r="J17" s="0" t="n">
        <f aca="false">(I17-H17)*$J$3/($I$3-$H$3)</f>
        <v>0</v>
      </c>
    </row>
    <row r="18" customFormat="false" ht="15" hidden="false" customHeight="false" outlineLevel="0" collapsed="false">
      <c r="D18" s="0" t="n">
        <f aca="false">SQRT(2*C18/1.1111)</f>
        <v>0</v>
      </c>
      <c r="J18" s="0" t="n">
        <f aca="false">(I18-H18)*$J$3/($I$3-$H$3)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54296875" defaultRowHeight="15" zeroHeight="false" outlineLevelRow="0" outlineLevelCol="0"/>
  <cols>
    <col collapsed="false" customWidth="true" hidden="false" outlineLevel="0" max="8" min="8" style="0" width="14.57"/>
    <col collapsed="false" customWidth="true" hidden="false" outlineLevel="0" max="9" min="9" style="0" width="15.42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</row>
    <row r="3" customFormat="false" ht="15" hidden="false" customHeight="false" outlineLevel="0" collapsed="false">
      <c r="D3" s="0" t="n">
        <v>0</v>
      </c>
      <c r="F3" s="0" t="s">
        <v>10</v>
      </c>
      <c r="G3" s="0" t="s">
        <v>17</v>
      </c>
      <c r="H3" s="0" t="n">
        <v>27</v>
      </c>
      <c r="I3" s="0" t="n">
        <v>298</v>
      </c>
      <c r="J3" s="0" t="n">
        <v>76.364</v>
      </c>
    </row>
    <row r="4" customFormat="false" ht="15" hidden="false" customHeight="false" outlineLevel="0" collapsed="false">
      <c r="B4" s="0" t="n">
        <v>20.2</v>
      </c>
      <c r="C4" s="0" t="n">
        <v>98.8</v>
      </c>
      <c r="D4" s="0" t="n">
        <f aca="false">SQRT(2*C4/1.1111)</f>
        <v>13.3357331413681</v>
      </c>
      <c r="E4" s="0" t="n">
        <v>11.41</v>
      </c>
      <c r="F4" s="0" t="s">
        <v>18</v>
      </c>
      <c r="G4" s="0" t="s">
        <v>19</v>
      </c>
      <c r="H4" s="0" t="n">
        <v>17.864</v>
      </c>
      <c r="I4" s="0" t="n">
        <v>378.53</v>
      </c>
      <c r="J4" s="0" t="n">
        <f aca="false">(I4-H4)*$J$3/($I$3-$H$3)</f>
        <v>101.630621490775</v>
      </c>
    </row>
    <row r="5" customFormat="false" ht="15" hidden="false" customHeight="false" outlineLevel="0" collapsed="false">
      <c r="B5" s="0" t="n">
        <v>21</v>
      </c>
      <c r="C5" s="0" t="n">
        <v>109</v>
      </c>
      <c r="D5" s="0" t="n">
        <f aca="false">SQRT(2*C5/1.1111)</f>
        <v>14.007211072145</v>
      </c>
      <c r="E5" s="0" t="n">
        <v>11.42</v>
      </c>
      <c r="G5" s="0" t="s">
        <v>20</v>
      </c>
      <c r="H5" s="0" t="n">
        <v>15.35</v>
      </c>
      <c r="I5" s="0" t="n">
        <v>388.99</v>
      </c>
      <c r="J5" s="0" t="n">
        <f aca="false">(I5-H5)*$J$3/($I$3-$H$3)</f>
        <v>105.286512767528</v>
      </c>
    </row>
    <row r="6" customFormat="false" ht="15" hidden="false" customHeight="false" outlineLevel="0" collapsed="false">
      <c r="B6" s="0" t="n">
        <v>19</v>
      </c>
      <c r="C6" s="0" t="n">
        <v>85.6</v>
      </c>
      <c r="D6" s="0" t="n">
        <f aca="false">SQRT(2*C6/1.1111)</f>
        <v>12.4129585842944</v>
      </c>
      <c r="G6" s="0" t="s">
        <v>21</v>
      </c>
      <c r="H6" s="0" t="n">
        <v>25.8</v>
      </c>
      <c r="I6" s="0" t="n">
        <v>359.3</v>
      </c>
      <c r="J6" s="0" t="n">
        <f aca="false">(I6-H6)*$J$3/($I$3-$H$3)</f>
        <v>93.9756236162362</v>
      </c>
    </row>
    <row r="7" customFormat="false" ht="15" hidden="false" customHeight="false" outlineLevel="0" collapsed="false">
      <c r="B7" s="0" t="n">
        <v>18</v>
      </c>
      <c r="C7" s="0" t="n">
        <v>74.9</v>
      </c>
      <c r="D7" s="0" t="n">
        <f aca="false">SQRT(2*C7/1.1111)</f>
        <v>11.611259544661</v>
      </c>
      <c r="G7" s="0" t="s">
        <v>22</v>
      </c>
      <c r="H7" s="0" t="n">
        <v>40.45</v>
      </c>
      <c r="I7" s="0" t="n">
        <v>343.4</v>
      </c>
      <c r="J7" s="0" t="n">
        <f aca="false">(I7-H7)*$J$3/($I$3-$H$3)</f>
        <v>85.3670619926199</v>
      </c>
    </row>
    <row r="8" customFormat="false" ht="15" hidden="false" customHeight="false" outlineLevel="0" collapsed="false">
      <c r="B8" s="0" t="n">
        <v>17.7</v>
      </c>
      <c r="C8" s="0" t="n">
        <v>71.9</v>
      </c>
      <c r="D8" s="0" t="n">
        <f aca="false">SQRT(2*C8/1.1111)</f>
        <v>11.3763480173974</v>
      </c>
      <c r="F8" s="0" t="s">
        <v>23</v>
      </c>
      <c r="J8" s="0" t="n">
        <f aca="false">(I8-H8)*$J$3/($I$3-$H$3)</f>
        <v>0</v>
      </c>
    </row>
    <row r="9" customFormat="false" ht="15" hidden="false" customHeight="false" outlineLevel="0" collapsed="false">
      <c r="B9" s="0" t="n">
        <v>19.5</v>
      </c>
      <c r="C9" s="0" t="n">
        <v>91.2</v>
      </c>
      <c r="D9" s="0" t="n">
        <f aca="false">SQRT(2*C9/1.1111)</f>
        <v>12.8125579653876</v>
      </c>
      <c r="E9" s="0" t="n">
        <v>11.45</v>
      </c>
      <c r="G9" s="0" t="s">
        <v>24</v>
      </c>
      <c r="H9" s="0" t="n">
        <v>22.47</v>
      </c>
      <c r="I9" s="0" t="n">
        <v>367.2</v>
      </c>
      <c r="J9" s="0" t="n">
        <f aca="false">(I9-H9)*$J$3/($I$3-$H$3)</f>
        <v>97.1400801476015</v>
      </c>
    </row>
    <row r="10" customFormat="false" ht="15" hidden="false" customHeight="false" outlineLevel="0" collapsed="false">
      <c r="B10" s="0" t="n">
        <v>18.5</v>
      </c>
      <c r="C10" s="0" t="n">
        <v>80.3</v>
      </c>
      <c r="D10" s="0" t="n">
        <f aca="false">SQRT(2*C10/1.1111)</f>
        <v>12.0225390585539</v>
      </c>
      <c r="G10" s="0" t="s">
        <v>25</v>
      </c>
      <c r="H10" s="0" t="n">
        <v>31.67</v>
      </c>
      <c r="I10" s="0" t="n">
        <v>355.1</v>
      </c>
      <c r="J10" s="0" t="n">
        <f aca="false">(I10-H10)*$J$3/($I$3-$H$3)</f>
        <v>91.1380388191882</v>
      </c>
    </row>
    <row r="11" customFormat="false" ht="15" hidden="false" customHeight="false" outlineLevel="0" collapsed="false">
      <c r="B11" s="0" t="n">
        <v>22</v>
      </c>
      <c r="C11" s="0" t="n">
        <v>119.2</v>
      </c>
      <c r="D11" s="0" t="n">
        <f aca="false">SQRT(2*C11/1.1111)</f>
        <v>14.6479399787634</v>
      </c>
      <c r="G11" s="0" t="s">
        <v>26</v>
      </c>
      <c r="H11" s="0" t="n">
        <v>12.84</v>
      </c>
      <c r="I11" s="0" t="n">
        <v>395.3</v>
      </c>
      <c r="J11" s="0" t="n">
        <f aca="false">(I11-H11)*$J$3/($I$3-$H$3)</f>
        <v>107.771865092251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21.43"/>
    <col collapsed="false" customWidth="true" hidden="false" outlineLevel="0" max="8" min="8" style="0" width="14.57"/>
    <col collapsed="false" customWidth="true" hidden="false" outlineLevel="0" max="9" min="9" style="0" width="15.42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</row>
    <row r="3" customFormat="false" ht="15" hidden="false" customHeight="false" outlineLevel="0" collapsed="false">
      <c r="D3" s="0" t="n">
        <v>0</v>
      </c>
      <c r="F3" s="0" t="s">
        <v>10</v>
      </c>
      <c r="G3" s="0" t="s">
        <v>27</v>
      </c>
      <c r="H3" s="0" t="n">
        <v>52.59</v>
      </c>
      <c r="I3" s="0" t="n">
        <v>355.52</v>
      </c>
      <c r="J3" s="0" t="n">
        <v>76.364</v>
      </c>
    </row>
    <row r="4" customFormat="false" ht="15" hidden="false" customHeight="false" outlineLevel="0" collapsed="false">
      <c r="B4" s="0" t="n">
        <v>20.8</v>
      </c>
      <c r="C4" s="0" t="n">
        <v>105.7</v>
      </c>
      <c r="D4" s="0" t="n">
        <f aca="false">SQRT(2*C4/1.1111)</f>
        <v>13.793545686988</v>
      </c>
      <c r="F4" s="0" t="s">
        <v>28</v>
      </c>
      <c r="G4" s="0" t="s">
        <v>29</v>
      </c>
      <c r="H4" s="0" t="n">
        <v>0.709</v>
      </c>
      <c r="I4" s="0" t="n">
        <v>399.5</v>
      </c>
      <c r="J4" s="0" t="n">
        <f aca="false">(I4-H4)*$J$3/($I$3-$H$3)</f>
        <v>100.529085676559</v>
      </c>
    </row>
    <row r="5" customFormat="false" ht="15" hidden="false" customHeight="false" outlineLevel="0" collapsed="false">
      <c r="B5" s="0" t="n">
        <v>22</v>
      </c>
      <c r="C5" s="0" t="n">
        <v>119.7</v>
      </c>
      <c r="D5" s="0" t="n">
        <f aca="false">SQRT(2*C5/1.1111)</f>
        <v>14.6786291805995</v>
      </c>
      <c r="H5" s="0" t="n">
        <v>1.5</v>
      </c>
      <c r="I5" s="0" t="n">
        <v>406.1</v>
      </c>
      <c r="J5" s="0" t="n">
        <f aca="false">(I5-H5)*$J$3/($I$3-$H$3)</f>
        <v>101.993445350411</v>
      </c>
    </row>
    <row r="6" customFormat="false" ht="15" hidden="false" customHeight="false" outlineLevel="0" collapsed="false">
      <c r="B6" s="0" t="n">
        <v>23</v>
      </c>
      <c r="C6" s="0" t="n">
        <v>131.8</v>
      </c>
      <c r="D6" s="0" t="n">
        <f aca="false">SQRT(2*C6/1.1111)</f>
        <v>15.4026741971556</v>
      </c>
      <c r="H6" s="0" t="n">
        <v>2.38</v>
      </c>
      <c r="I6" s="0" t="n">
        <v>405.7</v>
      </c>
      <c r="J6" s="0" t="n">
        <f aca="false">(I6-H6)*$J$3/($I$3-$H$3)</f>
        <v>101.670777011191</v>
      </c>
    </row>
    <row r="7" customFormat="false" ht="15" hidden="false" customHeight="false" outlineLevel="0" collapsed="false">
      <c r="B7" s="0" t="n">
        <v>20</v>
      </c>
      <c r="C7" s="0" t="n">
        <v>96.4</v>
      </c>
      <c r="D7" s="0" t="n">
        <f aca="false">SQRT(2*C7/1.1111)</f>
        <v>13.1727649040493</v>
      </c>
      <c r="H7" s="0" t="n">
        <v>0</v>
      </c>
      <c r="I7" s="0" t="n">
        <v>396</v>
      </c>
      <c r="J7" s="0" t="n">
        <f aca="false">(I7-H7)*$J$3/($I$3-$H$3)</f>
        <v>99.8255174462747</v>
      </c>
    </row>
    <row r="8" customFormat="false" ht="15" hidden="false" customHeight="false" outlineLevel="0" collapsed="false">
      <c r="B8" s="0" t="n">
        <v>19.5</v>
      </c>
      <c r="C8" s="0" t="n">
        <v>91.5</v>
      </c>
      <c r="D8" s="0" t="n">
        <f aca="false">SQRT(2*C8/1.1111)</f>
        <v>12.8336139499546</v>
      </c>
      <c r="H8" s="0" t="n">
        <v>2</v>
      </c>
      <c r="I8" s="0" t="n">
        <v>390</v>
      </c>
      <c r="J8" s="0" t="n">
        <f aca="false">(I8-H8)*$J$3/($I$3-$H$3)</f>
        <v>97.808840326148</v>
      </c>
    </row>
    <row r="9" customFormat="false" ht="15" hidden="false" customHeight="false" outlineLevel="0" collapsed="false">
      <c r="B9" s="0" t="n">
        <v>19</v>
      </c>
      <c r="C9" s="0" t="n">
        <v>86</v>
      </c>
      <c r="D9" s="0" t="n">
        <f aca="false">SQRT(2*C9/1.1111)</f>
        <v>12.4419270217873</v>
      </c>
      <c r="H9" s="0" t="n">
        <v>5.7</v>
      </c>
      <c r="I9" s="0" t="n">
        <v>381.9</v>
      </c>
      <c r="J9" s="0" t="n">
        <f aca="false">(I9-H9)*$J$3/($I$3-$H$3)</f>
        <v>94.834241573961</v>
      </c>
    </row>
    <row r="10" customFormat="false" ht="15" hidden="false" customHeight="false" outlineLevel="0" collapsed="false">
      <c r="B10" s="0" t="n">
        <v>18.5</v>
      </c>
      <c r="C10" s="0" t="n">
        <v>80.5</v>
      </c>
      <c r="D10" s="0" t="n">
        <f aca="false">SQRT(2*C10/1.1111)</f>
        <v>12.0375017763027</v>
      </c>
      <c r="H10" s="0" t="n">
        <v>7.8</v>
      </c>
      <c r="I10" s="0" t="n">
        <v>379.8</v>
      </c>
      <c r="J10" s="0" t="n">
        <f aca="false">(I10-H10)*$J$3/($I$3-$H$3)</f>
        <v>93.7754860858945</v>
      </c>
    </row>
    <row r="11" customFormat="false" ht="15" hidden="false" customHeight="false" outlineLevel="0" collapsed="false">
      <c r="B11" s="0" t="n">
        <v>18</v>
      </c>
      <c r="C11" s="0" t="n">
        <v>75.7</v>
      </c>
      <c r="D11" s="0" t="n">
        <f aca="false">SQRT(2*C11/1.1111)</f>
        <v>11.6731042406734</v>
      </c>
      <c r="H11" s="0" t="n">
        <v>12</v>
      </c>
      <c r="I11" s="0" t="n">
        <v>371.8</v>
      </c>
      <c r="J11" s="0" t="n">
        <f aca="false">(I11-H11)*$J$3/($I$3-$H$3)</f>
        <v>90.7000534777012</v>
      </c>
    </row>
    <row r="12" customFormat="false" ht="15" hidden="false" customHeight="false" outlineLevel="0" collapsed="false">
      <c r="B12" s="0" t="n">
        <v>17.5</v>
      </c>
      <c r="C12" s="0" t="n">
        <v>70.2</v>
      </c>
      <c r="D12" s="0" t="n">
        <f aca="false">SQRT(2*C12/1.1111)</f>
        <v>11.2410526025206</v>
      </c>
      <c r="H12" s="0" t="n">
        <v>17.4</v>
      </c>
      <c r="I12" s="0" t="n">
        <v>367.2</v>
      </c>
      <c r="J12" s="0" t="n">
        <f aca="false">(I12-H12)*$J$3/($I$3-$H$3)</f>
        <v>88.1792070775427</v>
      </c>
    </row>
    <row r="13" customFormat="false" ht="15" hidden="false" customHeight="false" outlineLevel="0" collapsed="false">
      <c r="B13" s="0" t="n">
        <v>17</v>
      </c>
      <c r="C13" s="0" t="n">
        <v>65</v>
      </c>
      <c r="D13" s="0" t="n">
        <f aca="false">SQRT(2*C13/1.1111)</f>
        <v>10.8167079100667</v>
      </c>
      <c r="H13" s="0" t="n">
        <v>24.6</v>
      </c>
      <c r="I13" s="0" t="n">
        <v>361.8</v>
      </c>
      <c r="J13" s="0" t="n">
        <f aca="false">(I13-H13)*$J$3/($I$3-$H$3)</f>
        <v>85.002940613343</v>
      </c>
    </row>
    <row r="14" customFormat="false" ht="15" hidden="false" customHeight="false" outlineLevel="0" collapsed="false">
      <c r="B14" s="0" t="n">
        <v>16.5</v>
      </c>
      <c r="C14" s="0" t="n">
        <v>61</v>
      </c>
      <c r="D14" s="0" t="n">
        <f aca="false">SQRT(2*C14/1.1111)</f>
        <v>10.4786019110843</v>
      </c>
      <c r="H14" s="0" t="n">
        <v>31.67</v>
      </c>
      <c r="I14" s="0" t="n">
        <v>346.7</v>
      </c>
      <c r="J14" s="0" t="n">
        <f aca="false">(I14-H14)*$J$3/($I$3-$H$3)</f>
        <v>79.4142241441917</v>
      </c>
    </row>
    <row r="15" customFormat="false" ht="15" hidden="false" customHeight="false" outlineLevel="0" collapsed="false">
      <c r="B15" s="0" t="n">
        <v>16</v>
      </c>
      <c r="C15" s="0" t="n">
        <v>57</v>
      </c>
      <c r="D15" s="0" t="n">
        <f aca="false">SQRT(2*C15/1.1111)</f>
        <v>10.1292164558894</v>
      </c>
      <c r="E15" s="0" t="s">
        <v>30</v>
      </c>
      <c r="G15" s="0" t="s">
        <v>30</v>
      </c>
      <c r="J15" s="1" t="n">
        <f aca="false">(I15-H15)*$J$3/($I$3-$H$3)</f>
        <v>0</v>
      </c>
    </row>
    <row r="16" customFormat="false" ht="15" hidden="false" customHeight="false" outlineLevel="0" collapsed="false">
      <c r="B16" s="0" t="n">
        <v>24</v>
      </c>
      <c r="C16" s="0" t="n">
        <v>144</v>
      </c>
      <c r="D16" s="0" t="n">
        <f aca="false">SQRT(2*C16/1.1111)</f>
        <v>16.0997699370494</v>
      </c>
      <c r="F16" s="0" t="s">
        <v>31</v>
      </c>
      <c r="H16" s="0" t="n">
        <v>0</v>
      </c>
      <c r="I16" s="0" t="n">
        <v>0</v>
      </c>
      <c r="J16" s="0" t="n">
        <f aca="false">(I16-H16)*$J$3/($I$3-$H$3)</f>
        <v>0</v>
      </c>
    </row>
    <row r="17" customFormat="false" ht="15" hidden="false" customHeight="false" outlineLevel="0" collapsed="false">
      <c r="B17" s="0" t="n">
        <v>25</v>
      </c>
      <c r="C17" s="0" t="n">
        <v>158</v>
      </c>
      <c r="D17" s="0" t="n">
        <f aca="false">SQRT(2*C17/1.1111)</f>
        <v>16.8642475085146</v>
      </c>
      <c r="J17" s="0" t="n">
        <f aca="false">(I17-H17)*$J$3/($I$3-$H$3)</f>
        <v>0</v>
      </c>
    </row>
    <row r="18" customFormat="false" ht="15" hidden="false" customHeight="false" outlineLevel="0" collapsed="false">
      <c r="B18" s="0" t="n">
        <v>26</v>
      </c>
      <c r="C18" s="0" t="n">
        <v>173</v>
      </c>
      <c r="D18" s="0" t="n">
        <f aca="false">SQRT(2*C18/1.1111)</f>
        <v>17.6466176371321</v>
      </c>
      <c r="G18" s="0" t="s">
        <v>32</v>
      </c>
      <c r="J18" s="0" t="n">
        <f aca="false">(I18-H18)*$J$3/($I$3-$H$3)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54296875" defaultRowHeight="15" zeroHeight="false" outlineLevelRow="0" outlineLevelCol="0"/>
  <cols>
    <col collapsed="false" customWidth="true" hidden="false" outlineLevel="0" max="8" min="8" style="0" width="14.57"/>
    <col collapsed="false" customWidth="true" hidden="false" outlineLevel="0" max="9" min="9" style="0" width="15.42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</row>
    <row r="3" customFormat="false" ht="15" hidden="false" customHeight="false" outlineLevel="0" collapsed="false">
      <c r="D3" s="0" t="n">
        <v>0</v>
      </c>
      <c r="F3" s="0" t="s">
        <v>10</v>
      </c>
      <c r="G3" s="0" t="s">
        <v>33</v>
      </c>
      <c r="H3" s="0" t="n">
        <v>141.7</v>
      </c>
      <c r="I3" s="0" t="n">
        <v>299.87</v>
      </c>
      <c r="J3" s="0" t="n">
        <f aca="false">76.364/2</f>
        <v>38.182</v>
      </c>
    </row>
    <row r="4" customFormat="false" ht="15" hidden="false" customHeight="false" outlineLevel="0" collapsed="false">
      <c r="B4" s="0" t="n">
        <v>21.2</v>
      </c>
      <c r="C4" s="0" t="n">
        <v>110.6</v>
      </c>
      <c r="D4" s="0" t="n">
        <f aca="false">SQRT(2*C4/1.1111)</f>
        <v>14.109641767951</v>
      </c>
      <c r="F4" s="0" t="s">
        <v>18</v>
      </c>
      <c r="G4" s="0" t="s">
        <v>34</v>
      </c>
      <c r="J4" s="0" t="n">
        <f aca="false">(I4-H4)*$J$3/($I$3-$H$3)</f>
        <v>0</v>
      </c>
    </row>
    <row r="5" customFormat="false" ht="15" hidden="false" customHeight="false" outlineLevel="0" collapsed="false">
      <c r="B5" s="0" t="n">
        <v>20.5</v>
      </c>
      <c r="C5" s="0" t="n">
        <v>102.2</v>
      </c>
      <c r="D5" s="0" t="n">
        <f aca="false">SQRT(2*C5/1.1111)</f>
        <v>13.5632532829847</v>
      </c>
      <c r="J5" s="0" t="n">
        <f aca="false">(I5-H5)*$J$3/($I$3-$H$3)</f>
        <v>0</v>
      </c>
    </row>
    <row r="6" customFormat="false" ht="15" hidden="false" customHeight="false" outlineLevel="0" collapsed="false">
      <c r="B6" s="0" t="n">
        <v>20</v>
      </c>
      <c r="C6" s="0" t="n">
        <v>96.7</v>
      </c>
      <c r="D6" s="0" t="n">
        <f aca="false">SQRT(2*C6/1.1111)</f>
        <v>13.1932460227726</v>
      </c>
      <c r="J6" s="0" t="n">
        <f aca="false">(I6-H6)*$J$3/($I$3-$H$3)</f>
        <v>0</v>
      </c>
    </row>
    <row r="7" customFormat="false" ht="15" hidden="false" customHeight="false" outlineLevel="0" collapsed="false">
      <c r="B7" s="0" t="n">
        <v>19</v>
      </c>
      <c r="C7" s="0" t="n">
        <v>86.3</v>
      </c>
      <c r="D7" s="0" t="n">
        <f aca="false">SQRT(2*C7/1.1111)</f>
        <v>12.4636091649062</v>
      </c>
      <c r="J7" s="0" t="n">
        <f aca="false">(I7-H7)*$J$3/($I$3-$H$3)</f>
        <v>0</v>
      </c>
    </row>
    <row r="8" customFormat="false" ht="15" hidden="false" customHeight="false" outlineLevel="0" collapsed="false">
      <c r="B8" s="0" t="n">
        <v>18</v>
      </c>
      <c r="C8" s="0" t="n">
        <v>75.7</v>
      </c>
      <c r="D8" s="0" t="n">
        <f aca="false">SQRT(2*C8/1.1111)</f>
        <v>11.6731042406734</v>
      </c>
      <c r="J8" s="0" t="n">
        <f aca="false">(I8-H8)*$J$3/($I$3-$H$3)</f>
        <v>0</v>
      </c>
    </row>
    <row r="9" customFormat="false" ht="15" hidden="false" customHeight="false" outlineLevel="0" collapsed="false">
      <c r="B9" s="0" t="n">
        <v>17</v>
      </c>
      <c r="C9" s="0" t="n">
        <v>66</v>
      </c>
      <c r="D9" s="0" t="n">
        <f aca="false">SQRT(2*C9/1.1111)</f>
        <v>10.8995957728661</v>
      </c>
      <c r="J9" s="0" t="n">
        <f aca="false">(I9-H9)*$J$3/($I$3-$H$3)</f>
        <v>0</v>
      </c>
    </row>
    <row r="10" customFormat="false" ht="15" hidden="false" customHeight="false" outlineLevel="0" collapsed="false">
      <c r="B10" s="0" t="n">
        <v>16</v>
      </c>
      <c r="C10" s="0" t="n">
        <v>56</v>
      </c>
      <c r="D10" s="0" t="n">
        <f aca="false">SQRT(2*C10/1.1111)</f>
        <v>10.039970518387</v>
      </c>
      <c r="J10" s="0" t="n">
        <f aca="false">(I10-H10)*$J$3/($I$3-$H$3)</f>
        <v>0</v>
      </c>
    </row>
    <row r="11" customFormat="false" ht="15" hidden="false" customHeight="false" outlineLevel="0" collapsed="false">
      <c r="B11" s="0" t="n">
        <v>15</v>
      </c>
      <c r="C11" s="0" t="n">
        <v>47.5</v>
      </c>
      <c r="D11" s="0" t="n">
        <f aca="false">SQRT(2*C11/1.1111)</f>
        <v>9.24666723790524</v>
      </c>
      <c r="J11" s="0" t="n">
        <f aca="false">(I11-H11)*$J$3/($I$3-$H$3)</f>
        <v>0</v>
      </c>
    </row>
    <row r="12" customFormat="false" ht="15" hidden="false" customHeight="false" outlineLevel="0" collapsed="false">
      <c r="B12" s="0" t="n">
        <v>14</v>
      </c>
      <c r="C12" s="0" t="n">
        <v>39.8</v>
      </c>
      <c r="D12" s="0" t="n">
        <f aca="false">SQRT(2*C12/1.1111)</f>
        <v>8.46408390832487</v>
      </c>
    </row>
    <row r="13" customFormat="false" ht="15" hidden="false" customHeight="false" outlineLevel="0" collapsed="false">
      <c r="B13" s="0" t="n">
        <v>13</v>
      </c>
      <c r="C13" s="0" t="n">
        <v>33.5</v>
      </c>
      <c r="D13" s="0" t="n">
        <f aca="false">SQRT(2*C13/1.1111)</f>
        <v>7.76534629015539</v>
      </c>
    </row>
    <row r="14" customFormat="false" ht="15" hidden="false" customHeight="false" outlineLevel="0" collapsed="false">
      <c r="B14" s="0" t="n">
        <v>12</v>
      </c>
      <c r="C14" s="0" t="n">
        <v>27.6</v>
      </c>
      <c r="D14" s="0" t="n">
        <f aca="false">SQRT(2*C14/1.1111)</f>
        <v>7.04843931696713</v>
      </c>
    </row>
    <row r="15" customFormat="false" ht="15" hidden="false" customHeight="false" outlineLevel="0" collapsed="false">
      <c r="B15" s="0" t="n">
        <v>11.4</v>
      </c>
      <c r="C15" s="0" t="n">
        <v>24.3</v>
      </c>
      <c r="D15" s="0" t="n">
        <f aca="false">SQRT(2*C15/1.1111)</f>
        <v>6.61365537387412</v>
      </c>
      <c r="F15" s="0" t="s">
        <v>23</v>
      </c>
    </row>
    <row r="16" customFormat="false" ht="15" hidden="false" customHeight="false" outlineLevel="0" collapsed="false">
      <c r="B16" s="0" t="n">
        <v>22</v>
      </c>
      <c r="C16" s="0" t="n">
        <v>121.1</v>
      </c>
      <c r="D16" s="0" t="n">
        <f aca="false">SQRT(2*C16/1.1111)</f>
        <v>14.7642195805196</v>
      </c>
    </row>
    <row r="17" customFormat="false" ht="15" hidden="false" customHeight="false" outlineLevel="0" collapsed="false">
      <c r="B17" s="0" t="n">
        <v>23</v>
      </c>
      <c r="C17" s="0" t="n">
        <v>133</v>
      </c>
      <c r="D17" s="0" t="n">
        <f aca="false">SQRT(2*C17/1.1111)</f>
        <v>15.4726337132351</v>
      </c>
    </row>
    <row r="18" customFormat="false" ht="15" hidden="false" customHeight="false" outlineLevel="0" collapsed="false">
      <c r="B18" s="0" t="n">
        <v>24</v>
      </c>
      <c r="C18" s="0" t="n">
        <v>145</v>
      </c>
      <c r="D18" s="0" t="n">
        <f aca="false">SQRT(2*C18/1.1111)</f>
        <v>16.1555751994815</v>
      </c>
    </row>
    <row r="19" customFormat="false" ht="15" hidden="false" customHeight="false" outlineLevel="0" collapsed="false">
      <c r="B19" s="0" t="n">
        <v>25</v>
      </c>
      <c r="C19" s="0" t="n">
        <v>158</v>
      </c>
      <c r="D19" s="0" t="n">
        <f aca="false">SQRT(2*C19/1.1111)</f>
        <v>16.8642475085146</v>
      </c>
    </row>
    <row r="20" customFormat="false" ht="15" hidden="false" customHeight="false" outlineLevel="0" collapsed="false">
      <c r="B20" s="0" t="n">
        <v>26</v>
      </c>
      <c r="C20" s="0" t="n">
        <v>173</v>
      </c>
      <c r="D20" s="0" t="n">
        <f aca="false">SQRT(2*C20/1.1111)</f>
        <v>17.6466176371321</v>
      </c>
      <c r="G20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4296875" defaultRowHeight="15" zeroHeight="false" outlineLevelRow="0" outlineLevelCol="0"/>
  <cols>
    <col collapsed="false" customWidth="true" hidden="false" outlineLevel="0" max="8" min="8" style="0" width="14.57"/>
    <col collapsed="false" customWidth="true" hidden="false" outlineLevel="0" max="9" min="9" style="0" width="15.42"/>
  </cols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</row>
    <row r="3" customFormat="false" ht="15" hidden="false" customHeight="false" outlineLevel="0" collapsed="false">
      <c r="D3" s="0" t="n">
        <v>0</v>
      </c>
      <c r="F3" s="0" t="s">
        <v>10</v>
      </c>
      <c r="G3" s="0" t="s">
        <v>17</v>
      </c>
      <c r="H3" s="0" t="n">
        <v>27</v>
      </c>
      <c r="I3" s="0" t="n">
        <v>298</v>
      </c>
      <c r="J3" s="0" t="n">
        <v>76.364</v>
      </c>
    </row>
    <row r="4" customFormat="false" ht="15" hidden="false" customHeight="false" outlineLevel="0" collapsed="false">
      <c r="D4" s="0" t="n">
        <f aca="false">SQRT(2*C4/1.1111)</f>
        <v>0</v>
      </c>
      <c r="J4" s="0" t="n">
        <f aca="false">(I4-H4)*$J$3/($I$3-$H$3)</f>
        <v>0</v>
      </c>
    </row>
    <row r="5" customFormat="false" ht="15" hidden="false" customHeight="false" outlineLevel="0" collapsed="false">
      <c r="D5" s="0" t="n">
        <f aca="false">SQRT(2*C5/1.1111)</f>
        <v>0</v>
      </c>
      <c r="J5" s="0" t="n">
        <f aca="false">(I5-H5)*$J$3/($I$3-$H$3)</f>
        <v>0</v>
      </c>
    </row>
    <row r="6" customFormat="false" ht="15" hidden="false" customHeight="false" outlineLevel="0" collapsed="false">
      <c r="D6" s="0" t="n">
        <f aca="false">SQRT(2*C6/1.1111)</f>
        <v>0</v>
      </c>
      <c r="J6" s="0" t="n">
        <f aca="false">(I6-H6)*$J$3/($I$3-$H$3)</f>
        <v>0</v>
      </c>
    </row>
    <row r="7" customFormat="false" ht="15" hidden="false" customHeight="false" outlineLevel="0" collapsed="false">
      <c r="D7" s="0" t="n">
        <f aca="false">SQRT(2*C7/1.1111)</f>
        <v>0</v>
      </c>
      <c r="J7" s="0" t="n">
        <f aca="false">(I7-H7)*$J$3/($I$3-$H$3)</f>
        <v>0</v>
      </c>
    </row>
    <row r="8" customFormat="false" ht="15" hidden="false" customHeight="false" outlineLevel="0" collapsed="false">
      <c r="D8" s="0" t="n">
        <f aca="false">SQRT(2*C8/1.1111)</f>
        <v>0</v>
      </c>
      <c r="J8" s="0" t="n">
        <f aca="false">(I8-H8)*$J$3/($I$3-$H$3)</f>
        <v>0</v>
      </c>
    </row>
    <row r="9" customFormat="false" ht="15" hidden="false" customHeight="false" outlineLevel="0" collapsed="false">
      <c r="D9" s="0" t="n">
        <f aca="false">SQRT(2*C9/1.1111)</f>
        <v>0</v>
      </c>
      <c r="J9" s="0" t="n">
        <f aca="false">(I9-H9)*$J$3/($I$3-$H$3)</f>
        <v>0</v>
      </c>
    </row>
    <row r="10" customFormat="false" ht="15" hidden="false" customHeight="false" outlineLevel="0" collapsed="false">
      <c r="D10" s="0" t="n">
        <f aca="false">SQRT(2*C10/1.1111)</f>
        <v>0</v>
      </c>
      <c r="J10" s="0" t="n">
        <f aca="false">(I10-H10)*$J$3/($I$3-$H$3)</f>
        <v>0</v>
      </c>
    </row>
    <row r="11" customFormat="false" ht="15" hidden="false" customHeight="false" outlineLevel="0" collapsed="false">
      <c r="D11" s="0" t="n">
        <f aca="false">SQRT(2*C11/1.1111)</f>
        <v>0</v>
      </c>
      <c r="J11" s="0" t="n">
        <f aca="false">(I11-H11)*$J$3/($I$3-$H$3)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2026-06-12T12:46:15Z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