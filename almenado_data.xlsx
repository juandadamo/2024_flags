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990" yWindow="-240" windowWidth="14805" windowHeight="8010" activeTab="2"/>
  </bookViews>
  <sheets>
    <sheet name="Lisa" sheetId="9" r:id="rId1"/>
    <sheet name="Aserrada" sheetId="8" r:id="rId2"/>
    <sheet name="Almenada" sheetId="7" r:id="rId3"/>
    <sheet name="Almenada_old" sheetId="1" r:id="rId4"/>
    <sheet name="Almenada2_old" sheetId="5" r:id="rId5"/>
    <sheet name="Aserrada_old" sheetId="4" r:id="rId6"/>
    <sheet name="Plana_old" sheetId="6" r:id="rId7"/>
    <sheet name="Sheet2" sheetId="2" r:id="rId8"/>
    <sheet name="Sheet3" sheetId="3" r:id="rId9"/>
  </sheets>
  <calcPr calcId="145621"/>
</workbook>
</file>

<file path=xl/calcChain.xml><?xml version="1.0" encoding="utf-8"?>
<calcChain xmlns="http://schemas.openxmlformats.org/spreadsheetml/2006/main">
  <c r="J16" i="9" l="1"/>
  <c r="J17" i="9"/>
  <c r="J18" i="9"/>
  <c r="J19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J15" i="9"/>
  <c r="J14" i="9"/>
  <c r="J13" i="9"/>
  <c r="J12" i="9"/>
  <c r="J11" i="9"/>
  <c r="J10" i="9"/>
  <c r="J9" i="9"/>
  <c r="J8" i="9"/>
  <c r="J7" i="9"/>
  <c r="J6" i="9"/>
  <c r="J5" i="9"/>
  <c r="J4" i="9"/>
  <c r="D4" i="9"/>
  <c r="J18" i="8"/>
  <c r="D18" i="8"/>
  <c r="J17" i="8"/>
  <c r="D17" i="8"/>
  <c r="J16" i="8"/>
  <c r="D16" i="8"/>
  <c r="J15" i="8"/>
  <c r="D15" i="8"/>
  <c r="J14" i="8"/>
  <c r="D14" i="8"/>
  <c r="J13" i="8"/>
  <c r="D13" i="8"/>
  <c r="J12" i="8"/>
  <c r="D12" i="8"/>
  <c r="J11" i="8"/>
  <c r="D11" i="8"/>
  <c r="J10" i="8"/>
  <c r="D10" i="8"/>
  <c r="J9" i="8"/>
  <c r="D9" i="8"/>
  <c r="J8" i="8"/>
  <c r="D8" i="8"/>
  <c r="J7" i="8"/>
  <c r="D7" i="8"/>
  <c r="J6" i="8"/>
  <c r="D6" i="8"/>
  <c r="J5" i="8"/>
  <c r="D5" i="8"/>
  <c r="J4" i="8"/>
  <c r="D4" i="8"/>
  <c r="J18" i="7"/>
  <c r="D18" i="7"/>
  <c r="J17" i="7"/>
  <c r="D17" i="7"/>
  <c r="J16" i="7"/>
  <c r="D16" i="7"/>
  <c r="J15" i="7"/>
  <c r="D15" i="7"/>
  <c r="J14" i="7"/>
  <c r="D14" i="7"/>
  <c r="J13" i="7"/>
  <c r="D13" i="7"/>
  <c r="J12" i="7"/>
  <c r="D12" i="7"/>
  <c r="J11" i="7"/>
  <c r="D11" i="7"/>
  <c r="J10" i="7"/>
  <c r="D10" i="7"/>
  <c r="J9" i="7"/>
  <c r="D9" i="7"/>
  <c r="J8" i="7"/>
  <c r="D8" i="7"/>
  <c r="J7" i="7"/>
  <c r="D7" i="7"/>
  <c r="J6" i="7"/>
  <c r="D6" i="7"/>
  <c r="J5" i="7"/>
  <c r="D5" i="7"/>
  <c r="J4" i="7"/>
  <c r="D4" i="7"/>
  <c r="J3" i="4"/>
  <c r="D20" i="4"/>
  <c r="D19" i="4"/>
  <c r="D18" i="4"/>
  <c r="D17" i="4"/>
  <c r="D16" i="4"/>
  <c r="D15" i="4"/>
  <c r="D14" i="4"/>
  <c r="D13" i="4"/>
  <c r="D12" i="4"/>
  <c r="J15" i="5"/>
  <c r="J16" i="5"/>
  <c r="J17" i="5"/>
  <c r="J18" i="5"/>
  <c r="J14" i="5"/>
  <c r="D18" i="5"/>
  <c r="D17" i="5"/>
  <c r="D16" i="5"/>
  <c r="J13" i="5"/>
  <c r="J12" i="5"/>
  <c r="D15" i="5"/>
  <c r="D14" i="5"/>
  <c r="D13" i="5"/>
  <c r="D12" i="5"/>
  <c r="J11" i="6"/>
  <c r="D11" i="6"/>
  <c r="J10" i="6"/>
  <c r="D10" i="6"/>
  <c r="J9" i="6"/>
  <c r="D9" i="6"/>
  <c r="J8" i="6"/>
  <c r="D8" i="6"/>
  <c r="J7" i="6"/>
  <c r="D7" i="6"/>
  <c r="J6" i="6"/>
  <c r="D6" i="6"/>
  <c r="J5" i="6"/>
  <c r="D5" i="6"/>
  <c r="J4" i="6"/>
  <c r="D4" i="6"/>
  <c r="J11" i="5"/>
  <c r="D11" i="5"/>
  <c r="J10" i="5"/>
  <c r="D10" i="5"/>
  <c r="J9" i="5"/>
  <c r="D9" i="5"/>
  <c r="J8" i="5"/>
  <c r="D8" i="5"/>
  <c r="J7" i="5"/>
  <c r="D7" i="5"/>
  <c r="J6" i="5"/>
  <c r="D6" i="5"/>
  <c r="J5" i="5"/>
  <c r="D5" i="5"/>
  <c r="J4" i="5"/>
  <c r="D4" i="5"/>
  <c r="D4" i="4"/>
  <c r="J4" i="4"/>
  <c r="D5" i="4"/>
  <c r="J5" i="4"/>
  <c r="D6" i="4"/>
  <c r="J6" i="4"/>
  <c r="D7" i="4"/>
  <c r="J7" i="4"/>
  <c r="D8" i="4"/>
  <c r="J8" i="4"/>
  <c r="D9" i="4"/>
  <c r="J9" i="4"/>
  <c r="D10" i="4"/>
  <c r="J10" i="4"/>
  <c r="D11" i="4"/>
  <c r="J11" i="4"/>
  <c r="D5" i="1"/>
  <c r="D6" i="1"/>
  <c r="D7" i="1"/>
  <c r="D8" i="1"/>
  <c r="D9" i="1"/>
  <c r="D10" i="1"/>
  <c r="D11" i="1"/>
  <c r="D4" i="1"/>
  <c r="J8" i="1"/>
  <c r="J9" i="1"/>
  <c r="J10" i="1"/>
  <c r="J11" i="1"/>
  <c r="J5" i="1"/>
  <c r="J6" i="1"/>
  <c r="J7" i="1"/>
  <c r="J4" i="1"/>
</calcChain>
</file>

<file path=xl/sharedStrings.xml><?xml version="1.0" encoding="utf-8"?>
<sst xmlns="http://schemas.openxmlformats.org/spreadsheetml/2006/main" count="99" uniqueCount="35">
  <si>
    <t>Variador[Hz]</t>
  </si>
  <si>
    <t>Pdin [Pa]</t>
  </si>
  <si>
    <t>Video [hora]</t>
  </si>
  <si>
    <t>onset</t>
  </si>
  <si>
    <t>offset</t>
  </si>
  <si>
    <t>Observaciones</t>
  </si>
  <si>
    <t>Amplitud Min</t>
  </si>
  <si>
    <t>Amplitud Max</t>
  </si>
  <si>
    <t>REFERENCIA</t>
  </si>
  <si>
    <t>Dx [mm]</t>
  </si>
  <si>
    <t>Archivo</t>
  </si>
  <si>
    <t>DSC_7621.MOV</t>
  </si>
  <si>
    <t>DSC_7619.MOV</t>
  </si>
  <si>
    <t>DSC_7620.MOV</t>
  </si>
  <si>
    <t>DSC_7622.MOV</t>
  </si>
  <si>
    <t>DSC_7623.MOV</t>
  </si>
  <si>
    <t>DSC_7624.MOV</t>
  </si>
  <si>
    <t>DSC_7625.MOV</t>
  </si>
  <si>
    <t>DSC_7626.MOV</t>
  </si>
  <si>
    <t>Velocidad</t>
  </si>
  <si>
    <t>DSC_7631.MOV</t>
  </si>
  <si>
    <t xml:space="preserve"> </t>
  </si>
  <si>
    <t>DSC_7630.MOV</t>
  </si>
  <si>
    <t>DSC_7644.MOV</t>
  </si>
  <si>
    <t>---</t>
  </si>
  <si>
    <t>Fuera de escala</t>
  </si>
  <si>
    <t>DSC_7645.MOV</t>
  </si>
  <si>
    <t>DSC_7646.MOV</t>
  </si>
  <si>
    <t>DSC_7661.MOV</t>
  </si>
  <si>
    <t>Referencia x2</t>
  </si>
  <si>
    <t>DSC_7678.MOV</t>
  </si>
  <si>
    <t>DSC_7679.MOV</t>
  </si>
  <si>
    <t>DSC_7693.MOV</t>
  </si>
  <si>
    <t>DSC_7694.MOV</t>
  </si>
  <si>
    <t>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</si>
</sst>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520975503062117"/>
          <c:y val="2.8252405949256341E-2"/>
          <c:w val="0.7240402449693788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Lisa!$D$5:$D$19</c:f>
              <c:numCache>
                <c:formatCode>General</c:formatCode>
                <c:ptCount val="15"/>
                <c:pt idx="0">
                  <c:v>10.682749702740962</c:v>
                </c:pt>
                <c:pt idx="1">
                  <c:v>10.155837307199938</c:v>
                </c:pt>
                <c:pt idx="2">
                  <c:v>9.7118969933495531</c:v>
                </c:pt>
                <c:pt idx="3">
                  <c:v>9.3434936190233522</c:v>
                </c:pt>
                <c:pt idx="4">
                  <c:v>8.9599555137304154</c:v>
                </c:pt>
                <c:pt idx="5">
                  <c:v>8.5907355917511552</c:v>
                </c:pt>
                <c:pt idx="6">
                  <c:v>8.1939411400567224</c:v>
                </c:pt>
                <c:pt idx="7">
                  <c:v>7.8460573287579329</c:v>
                </c:pt>
                <c:pt idx="8">
                  <c:v>7.4699771087721585</c:v>
                </c:pt>
                <c:pt idx="9">
                  <c:v>7.1119973147532933</c:v>
                </c:pt>
                <c:pt idx="10">
                  <c:v>6.7616904102873594</c:v>
                </c:pt>
                <c:pt idx="11">
                  <c:v>6.3781193783174084</c:v>
                </c:pt>
                <c:pt idx="12">
                  <c:v>12.549963147983748</c:v>
                </c:pt>
                <c:pt idx="13">
                  <c:v>11.757609553553994</c:v>
                </c:pt>
                <c:pt idx="14">
                  <c:v>11.030920941252734</c:v>
                </c:pt>
              </c:numCache>
            </c:numRef>
          </c:xVal>
          <c:yVal>
            <c:numRef>
              <c:f>Lisa!$J$5:$J$19</c:f>
              <c:numCache>
                <c:formatCode>General</c:formatCode>
                <c:ptCount val="15"/>
                <c:pt idx="0">
                  <c:v>94.007695551762239</c:v>
                </c:pt>
                <c:pt idx="1">
                  <c:v>92.397449543126825</c:v>
                </c:pt>
                <c:pt idx="2">
                  <c:v>85.228020885631096</c:v>
                </c:pt>
                <c:pt idx="3">
                  <c:v>87.10664122903907</c:v>
                </c:pt>
                <c:pt idx="4">
                  <c:v>86.646570940857515</c:v>
                </c:pt>
                <c:pt idx="5">
                  <c:v>84.57625464404056</c:v>
                </c:pt>
                <c:pt idx="6">
                  <c:v>81.969189677678486</c:v>
                </c:pt>
                <c:pt idx="7">
                  <c:v>74.72308263881915</c:v>
                </c:pt>
                <c:pt idx="8">
                  <c:v>75.259831308364284</c:v>
                </c:pt>
                <c:pt idx="9">
                  <c:v>75.259831308364284</c:v>
                </c:pt>
                <c:pt idx="10">
                  <c:v>68.167081032232161</c:v>
                </c:pt>
                <c:pt idx="11">
                  <c:v>0</c:v>
                </c:pt>
                <c:pt idx="12">
                  <c:v>106.31457576061855</c:v>
                </c:pt>
                <c:pt idx="13">
                  <c:v>100.7553931117582</c:v>
                </c:pt>
                <c:pt idx="14">
                  <c:v>97.189848378351243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4496"/>
        <c:axId val="153112960"/>
      </c:scatterChart>
      <c:valAx>
        <c:axId val="15311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3112960"/>
        <c:crosses val="autoZero"/>
        <c:crossBetween val="midCat"/>
      </c:valAx>
      <c:valAx>
        <c:axId val="153112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311449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Aserrada!$D$5:$D$17</c:f>
              <c:numCache>
                <c:formatCode>General</c:formatCode>
                <c:ptCount val="13"/>
                <c:pt idx="0">
                  <c:v>12.784429373904185</c:v>
                </c:pt>
                <c:pt idx="1">
                  <c:v>12.592918081837034</c:v>
                </c:pt>
                <c:pt idx="2">
                  <c:v>11.811070866519689</c:v>
                </c:pt>
                <c:pt idx="3">
                  <c:v>10.981858040061351</c:v>
                </c:pt>
                <c:pt idx="4">
                  <c:v>10.129216455889374</c:v>
                </c:pt>
                <c:pt idx="5">
                  <c:v>9.4297873363555809</c:v>
                </c:pt>
                <c:pt idx="6">
                  <c:v>8.6429593894377454</c:v>
                </c:pt>
                <c:pt idx="7">
                  <c:v>7.8575197999224962</c:v>
                </c:pt>
                <c:pt idx="8">
                  <c:v>7.1246408755161861</c:v>
                </c:pt>
                <c:pt idx="9">
                  <c:v>6.8410867561141222</c:v>
                </c:pt>
                <c:pt idx="10">
                  <c:v>13.355964353719958</c:v>
                </c:pt>
                <c:pt idx="11">
                  <c:v>14.122393367271151</c:v>
                </c:pt>
                <c:pt idx="12">
                  <c:v>14.849316651686374</c:v>
                </c:pt>
              </c:numCache>
            </c:numRef>
          </c:xVal>
          <c:yVal>
            <c:numRef>
              <c:f>Aserrada!$J$5:$J$17</c:f>
              <c:numCache>
                <c:formatCode>General</c:formatCode>
                <c:ptCount val="13"/>
                <c:pt idx="0">
                  <c:v>100.89327290836651</c:v>
                </c:pt>
                <c:pt idx="1">
                  <c:v>103.28915537848607</c:v>
                </c:pt>
                <c:pt idx="2">
                  <c:v>101.04539243027891</c:v>
                </c:pt>
                <c:pt idx="3">
                  <c:v>110.40074302788845</c:v>
                </c:pt>
                <c:pt idx="4">
                  <c:v>102.33840836653388</c:v>
                </c:pt>
                <c:pt idx="5">
                  <c:v>99.752376494023878</c:v>
                </c:pt>
                <c:pt idx="6">
                  <c:v>98.991778884462136</c:v>
                </c:pt>
                <c:pt idx="7">
                  <c:v>94.047894422310762</c:v>
                </c:pt>
                <c:pt idx="8">
                  <c:v>77.961254980079687</c:v>
                </c:pt>
                <c:pt idx="9">
                  <c:v>0</c:v>
                </c:pt>
                <c:pt idx="10">
                  <c:v>100.24676494023903</c:v>
                </c:pt>
                <c:pt idx="11">
                  <c:v>98.49739043824701</c:v>
                </c:pt>
                <c:pt idx="12">
                  <c:v>98.34527091633467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384256"/>
        <c:axId val="178382720"/>
      </c:scatterChart>
      <c:valAx>
        <c:axId val="178384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8382720"/>
        <c:crosses val="autoZero"/>
        <c:crossBetween val="midCat"/>
      </c:valAx>
      <c:valAx>
        <c:axId val="17838272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8384256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A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0516185476815397E-2"/>
          <c:y val="2.8252405949256341E-2"/>
          <c:w val="0.7240402449693788"/>
          <c:h val="0.8326195683872849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(Almenada!$D$5:$D$12,Almenada!$D$14:$D$16)</c:f>
              <c:numCache>
                <c:formatCode>General</c:formatCode>
                <c:ptCount val="11"/>
                <c:pt idx="0">
                  <c:v>13.994354519576248</c:v>
                </c:pt>
                <c:pt idx="1">
                  <c:v>13.315471190225683</c:v>
                </c:pt>
                <c:pt idx="2">
                  <c:v>12.571458961306128</c:v>
                </c:pt>
                <c:pt idx="3">
                  <c:v>11.833908923682154</c:v>
                </c:pt>
                <c:pt idx="4">
                  <c:v>10.949027299810158</c:v>
                </c:pt>
                <c:pt idx="5">
                  <c:v>10.146971450156746</c:v>
                </c:pt>
                <c:pt idx="6">
                  <c:v>9.3242087819124944</c:v>
                </c:pt>
                <c:pt idx="7">
                  <c:v>8.5802526890157544</c:v>
                </c:pt>
                <c:pt idx="8">
                  <c:v>14.903765337062048</c:v>
                </c:pt>
                <c:pt idx="9">
                  <c:v>15.600078000585004</c:v>
                </c:pt>
                <c:pt idx="10">
                  <c:v>16.321846219917656</c:v>
                </c:pt>
              </c:numCache>
            </c:numRef>
          </c:xVal>
          <c:yVal>
            <c:numRef>
              <c:f>(Almenada!$J$5:$J$12,Almenada!$J$14:$J$16)</c:f>
              <c:numCache>
                <c:formatCode>General</c:formatCode>
                <c:ptCount val="11"/>
                <c:pt idx="0">
                  <c:v>103.12798386283409</c:v>
                </c:pt>
                <c:pt idx="1">
                  <c:v>100.8559334341906</c:v>
                </c:pt>
                <c:pt idx="2">
                  <c:v>98.429845688350994</c:v>
                </c:pt>
                <c:pt idx="3">
                  <c:v>91.344129097327283</c:v>
                </c:pt>
                <c:pt idx="4">
                  <c:v>82.833567322239034</c:v>
                </c:pt>
                <c:pt idx="5">
                  <c:v>91.382638426626315</c:v>
                </c:pt>
                <c:pt idx="6">
                  <c:v>94.771459404942007</c:v>
                </c:pt>
                <c:pt idx="7">
                  <c:v>81.177666162380234</c:v>
                </c:pt>
                <c:pt idx="8">
                  <c:v>104.09071709531014</c:v>
                </c:pt>
                <c:pt idx="9">
                  <c:v>101.6646293494705</c:v>
                </c:pt>
                <c:pt idx="10">
                  <c:v>104.24475441250632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88160"/>
        <c:axId val="175386624"/>
      </c:scatterChart>
      <c:valAx>
        <c:axId val="17538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75386624"/>
        <c:crosses val="autoZero"/>
        <c:crossBetween val="midCat"/>
      </c:valAx>
      <c:valAx>
        <c:axId val="1753866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5388160"/>
        <c:crosses val="autoZero"/>
        <c:crossBetween val="midCat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542925</xdr:colOff>
      <xdr:row>4</xdr:row>
      <xdr:rowOff>14287</xdr:rowOff>
    </xdr:from>
    <xdr:to>
      <xdr:col>18</xdr:col>
      <xdr:colOff>238125</xdr:colOff>
      <xdr:row>18</xdr:row>
      <xdr:rowOff>90487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295275</xdr:colOff>
      <xdr:row>6</xdr:row>
      <xdr:rowOff>185737</xdr:rowOff>
    </xdr:from>
    <xdr:to>
      <xdr:col>17</xdr:col>
      <xdr:colOff>600075</xdr:colOff>
      <xdr:row>21</xdr:row>
      <xdr:rowOff>71437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409575</xdr:colOff>
      <xdr:row>5</xdr:row>
      <xdr:rowOff>157162</xdr:rowOff>
    </xdr:from>
    <xdr:to>
      <xdr:col>18</xdr:col>
      <xdr:colOff>104775</xdr:colOff>
      <xdr:row>20</xdr:row>
      <xdr:rowOff>42862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9"/>
  <sheetViews>
    <sheetView workbookViewId="0">
      <selection activeCell="J5" activeCellId="1" sqref="D5:D19 J5:J19"/>
    </sheetView>
  </sheetViews>
  <sheetFormatPr defaultRowHeight="15" x14ac:dyDescent="0.25"/>
  <cols>
    <col min="5" max="5" width="21.42578125" customWidth="1"/>
    <col min="6" max="6" width="12.85546875" customWidth="1"/>
    <col min="7" max="7" width="14.42578125" customWidth="1"/>
    <col min="8" max="8" width="11.5703125" customWidth="1"/>
    <col min="9" max="9" width="12.5703125" customWidth="1"/>
  </cols>
  <sheetData>
    <row r="2" spans="2:10" x14ac:dyDescent="0.25">
      <c r="B2" t="s">
        <v>0</v>
      </c>
      <c r="C2" t="s">
        <v>1</v>
      </c>
      <c r="D2" t="s">
        <v>19</v>
      </c>
      <c r="E2" t="s">
        <v>2</v>
      </c>
      <c r="F2" t="s">
        <v>5</v>
      </c>
      <c r="G2" t="s">
        <v>10</v>
      </c>
      <c r="H2" t="s">
        <v>6</v>
      </c>
      <c r="I2" t="s">
        <v>7</v>
      </c>
      <c r="J2" t="s">
        <v>9</v>
      </c>
    </row>
    <row r="3" spans="2:10" x14ac:dyDescent="0.25">
      <c r="D3">
        <v>0</v>
      </c>
      <c r="F3" t="s">
        <v>8</v>
      </c>
      <c r="H3">
        <v>98.62</v>
      </c>
      <c r="I3">
        <v>297.8</v>
      </c>
      <c r="J3">
        <v>76.364000000000004</v>
      </c>
    </row>
    <row r="4" spans="2:10" x14ac:dyDescent="0.25">
      <c r="D4">
        <f>SQRT(2*C4/1.1111)</f>
        <v>0</v>
      </c>
      <c r="F4" t="s">
        <v>29</v>
      </c>
      <c r="G4" t="s">
        <v>30</v>
      </c>
      <c r="H4">
        <v>1.5</v>
      </c>
      <c r="I4">
        <v>399.4</v>
      </c>
      <c r="J4">
        <f>(I4-H4)*$J$3/($I$3-$H$3)</f>
        <v>152.55163972286374</v>
      </c>
    </row>
    <row r="5" spans="2:10" x14ac:dyDescent="0.25">
      <c r="B5">
        <v>16.600000000000001</v>
      </c>
      <c r="C5">
        <v>63.4</v>
      </c>
      <c r="D5">
        <f t="shared" ref="D5:D19" si="0">SQRT(2*C5/1.1111)</f>
        <v>10.682749702740962</v>
      </c>
      <c r="G5" t="s">
        <v>31</v>
      </c>
      <c r="H5">
        <v>101.1</v>
      </c>
      <c r="I5">
        <v>346.3</v>
      </c>
      <c r="J5">
        <f>(I5-H5)*$J$3/($I$3-$H$3)</f>
        <v>94.007695551762239</v>
      </c>
    </row>
    <row r="6" spans="2:10" x14ac:dyDescent="0.25">
      <c r="B6">
        <v>16</v>
      </c>
      <c r="C6">
        <v>57.3</v>
      </c>
      <c r="D6">
        <f t="shared" si="0"/>
        <v>10.155837307199938</v>
      </c>
      <c r="H6">
        <v>96.5</v>
      </c>
      <c r="I6">
        <v>337.5</v>
      </c>
      <c r="J6">
        <f>(I6-H6)*$J$3/($I$3-$H$3)</f>
        <v>92.397449543126825</v>
      </c>
    </row>
    <row r="7" spans="2:10" x14ac:dyDescent="0.25">
      <c r="B7">
        <v>15.5</v>
      </c>
      <c r="C7">
        <v>52.4</v>
      </c>
      <c r="D7">
        <f t="shared" si="0"/>
        <v>9.7118969933495531</v>
      </c>
      <c r="H7">
        <v>104.8</v>
      </c>
      <c r="I7">
        <v>327.10000000000002</v>
      </c>
      <c r="J7">
        <f>(I7-H7)*$J$3/($I$3-$H$3)</f>
        <v>85.228020885631096</v>
      </c>
    </row>
    <row r="8" spans="2:10" x14ac:dyDescent="0.25">
      <c r="B8">
        <v>15</v>
      </c>
      <c r="C8">
        <v>48.5</v>
      </c>
      <c r="D8">
        <f t="shared" si="0"/>
        <v>9.3434936190233522</v>
      </c>
      <c r="H8">
        <v>104.9</v>
      </c>
      <c r="I8">
        <v>332.1</v>
      </c>
      <c r="J8">
        <f>(I8-H8)*$J$3/($I$3-$H$3)</f>
        <v>87.10664122903907</v>
      </c>
    </row>
    <row r="9" spans="2:10" x14ac:dyDescent="0.25">
      <c r="B9">
        <v>14.5</v>
      </c>
      <c r="C9">
        <v>44.6</v>
      </c>
      <c r="D9">
        <f t="shared" si="0"/>
        <v>8.9599555137304154</v>
      </c>
      <c r="H9">
        <v>107</v>
      </c>
      <c r="I9">
        <v>333</v>
      </c>
      <c r="J9">
        <f>(I9-H9)*$J$3/($I$3-$H$3)</f>
        <v>86.646570940857515</v>
      </c>
    </row>
    <row r="10" spans="2:10" x14ac:dyDescent="0.25">
      <c r="B10">
        <v>14</v>
      </c>
      <c r="C10">
        <v>41</v>
      </c>
      <c r="D10">
        <f t="shared" si="0"/>
        <v>8.5907355917511552</v>
      </c>
      <c r="H10">
        <v>115.3</v>
      </c>
      <c r="I10">
        <v>335.9</v>
      </c>
      <c r="J10">
        <f>(I10-H10)*$J$3/($I$3-$H$3)</f>
        <v>84.57625464404056</v>
      </c>
    </row>
    <row r="11" spans="2:10" x14ac:dyDescent="0.25">
      <c r="B11">
        <v>13.5</v>
      </c>
      <c r="C11">
        <v>37.299999999999997</v>
      </c>
      <c r="D11">
        <f t="shared" si="0"/>
        <v>8.1939411400567224</v>
      </c>
      <c r="H11">
        <v>114.5</v>
      </c>
      <c r="I11">
        <v>328.3</v>
      </c>
      <c r="J11">
        <f>(I11-H11)*$J$3/($I$3-$H$3)</f>
        <v>81.969189677678486</v>
      </c>
    </row>
    <row r="12" spans="2:10" x14ac:dyDescent="0.25">
      <c r="B12">
        <v>13</v>
      </c>
      <c r="C12">
        <v>34.200000000000003</v>
      </c>
      <c r="D12">
        <f t="shared" si="0"/>
        <v>7.8460573287579329</v>
      </c>
      <c r="H12">
        <v>123.3</v>
      </c>
      <c r="I12">
        <v>318.2</v>
      </c>
      <c r="J12">
        <f>(I12-H12)*$J$3/($I$3-$H$3)</f>
        <v>74.72308263881915</v>
      </c>
    </row>
    <row r="13" spans="2:10" x14ac:dyDescent="0.25">
      <c r="B13">
        <v>12.5</v>
      </c>
      <c r="C13">
        <v>31</v>
      </c>
      <c r="D13">
        <f t="shared" si="0"/>
        <v>7.4699771087721585</v>
      </c>
      <c r="H13">
        <v>121.6</v>
      </c>
      <c r="I13">
        <v>317.89999999999998</v>
      </c>
      <c r="J13">
        <f>(I13-H13)*$J$3/($I$3-$H$3)</f>
        <v>75.259831308364284</v>
      </c>
    </row>
    <row r="14" spans="2:10" x14ac:dyDescent="0.25">
      <c r="B14">
        <v>12</v>
      </c>
      <c r="C14">
        <v>28.1</v>
      </c>
      <c r="D14">
        <f t="shared" si="0"/>
        <v>7.1119973147532933</v>
      </c>
      <c r="H14">
        <v>117.4</v>
      </c>
      <c r="I14">
        <v>313.7</v>
      </c>
      <c r="J14">
        <f>(I14-H14)*$J$3/($I$3-$H$3)</f>
        <v>75.259831308364284</v>
      </c>
    </row>
    <row r="15" spans="2:10" x14ac:dyDescent="0.25">
      <c r="B15">
        <v>11.5</v>
      </c>
      <c r="C15">
        <v>25.4</v>
      </c>
      <c r="D15">
        <f t="shared" si="0"/>
        <v>6.7616904102873594</v>
      </c>
      <c r="E15" s="1"/>
      <c r="G15" s="1"/>
      <c r="H15">
        <v>126.2</v>
      </c>
      <c r="I15">
        <v>304</v>
      </c>
      <c r="J15">
        <f t="shared" ref="J15:J19" si="1">(I15-H15)*$J$3/($I$3-$H$3)</f>
        <v>68.167081032232161</v>
      </c>
    </row>
    <row r="16" spans="2:10" x14ac:dyDescent="0.25">
      <c r="B16">
        <v>11</v>
      </c>
      <c r="C16">
        <v>22.6</v>
      </c>
      <c r="D16">
        <f t="shared" si="0"/>
        <v>6.3781193783174084</v>
      </c>
      <c r="J16">
        <f t="shared" si="1"/>
        <v>0</v>
      </c>
    </row>
    <row r="17" spans="2:10" x14ac:dyDescent="0.25">
      <c r="B17">
        <v>19</v>
      </c>
      <c r="C17">
        <v>87.5</v>
      </c>
      <c r="D17">
        <f t="shared" si="0"/>
        <v>12.549963147983748</v>
      </c>
      <c r="H17">
        <v>82</v>
      </c>
      <c r="I17">
        <v>359.3</v>
      </c>
      <c r="J17">
        <f t="shared" si="1"/>
        <v>106.31457576061855</v>
      </c>
    </row>
    <row r="18" spans="2:10" x14ac:dyDescent="0.25">
      <c r="B18">
        <v>18</v>
      </c>
      <c r="C18">
        <v>76.8</v>
      </c>
      <c r="D18">
        <f t="shared" si="0"/>
        <v>11.757609553553994</v>
      </c>
      <c r="H18">
        <v>93.6</v>
      </c>
      <c r="I18">
        <v>356.4</v>
      </c>
      <c r="J18">
        <f t="shared" si="1"/>
        <v>100.7553931117582</v>
      </c>
    </row>
    <row r="19" spans="2:10" x14ac:dyDescent="0.25">
      <c r="B19">
        <v>17</v>
      </c>
      <c r="C19">
        <v>67.599999999999994</v>
      </c>
      <c r="D19">
        <f t="shared" si="0"/>
        <v>11.030920941252734</v>
      </c>
      <c r="H19">
        <v>95.3</v>
      </c>
      <c r="I19">
        <v>348.8</v>
      </c>
      <c r="J19">
        <f t="shared" si="1"/>
        <v>97.189848378351243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topLeftCell="C1" workbookViewId="0">
      <selection activeCell="J5" activeCellId="1" sqref="D5:D17 J5:J17"/>
    </sheetView>
  </sheetViews>
  <sheetFormatPr defaultRowHeight="15" x14ac:dyDescent="0.25"/>
  <cols>
    <col min="5" max="5" width="21.42578125" customWidth="1"/>
    <col min="8" max="8" width="14.5703125" customWidth="1"/>
    <col min="9" max="9" width="15.42578125" customWidth="1"/>
  </cols>
  <sheetData>
    <row r="2" spans="2:10" x14ac:dyDescent="0.25">
      <c r="B2" t="s">
        <v>0</v>
      </c>
      <c r="C2" t="s">
        <v>1</v>
      </c>
      <c r="D2" t="s">
        <v>19</v>
      </c>
      <c r="E2" t="s">
        <v>2</v>
      </c>
      <c r="F2" t="s">
        <v>5</v>
      </c>
      <c r="G2" t="s">
        <v>10</v>
      </c>
      <c r="H2" t="s">
        <v>6</v>
      </c>
      <c r="I2" t="s">
        <v>7</v>
      </c>
      <c r="J2" t="s">
        <v>9</v>
      </c>
    </row>
    <row r="3" spans="2:10" x14ac:dyDescent="0.25">
      <c r="D3">
        <v>0</v>
      </c>
      <c r="F3" t="s">
        <v>8</v>
      </c>
      <c r="G3" t="s">
        <v>32</v>
      </c>
      <c r="H3">
        <v>184.8</v>
      </c>
      <c r="I3">
        <v>385.6</v>
      </c>
      <c r="J3">
        <v>76.364000000000004</v>
      </c>
    </row>
    <row r="4" spans="2:10" x14ac:dyDescent="0.25">
      <c r="D4">
        <f>SQRT(2*C4/1.1111)</f>
        <v>0</v>
      </c>
      <c r="F4" t="s">
        <v>29</v>
      </c>
      <c r="H4">
        <v>6.5</v>
      </c>
      <c r="I4">
        <v>385.6</v>
      </c>
      <c r="J4">
        <f>(I4-H4)*$J$3/($I$3-$H$3)</f>
        <v>144.17127689243028</v>
      </c>
    </row>
    <row r="5" spans="2:10" x14ac:dyDescent="0.25">
      <c r="B5">
        <v>19.3</v>
      </c>
      <c r="C5">
        <v>90.8</v>
      </c>
      <c r="D5">
        <f t="shared" ref="D5:D18" si="0">SQRT(2*C5/1.1111)</f>
        <v>12.784429373904185</v>
      </c>
      <c r="G5" t="s">
        <v>33</v>
      </c>
      <c r="H5">
        <v>89.4</v>
      </c>
      <c r="I5">
        <v>354.7</v>
      </c>
      <c r="J5">
        <f>(I5-H5)*$J$3/($I$3-$H$3)</f>
        <v>100.89327290836651</v>
      </c>
    </row>
    <row r="6" spans="2:10" x14ac:dyDescent="0.25">
      <c r="B6">
        <v>19</v>
      </c>
      <c r="C6">
        <v>88.1</v>
      </c>
      <c r="D6">
        <f t="shared" si="0"/>
        <v>12.592918081837034</v>
      </c>
      <c r="H6">
        <v>82.7</v>
      </c>
      <c r="I6">
        <v>354.3</v>
      </c>
      <c r="J6">
        <f>(I6-H6)*$J$3/($I$3-$H$3)</f>
        <v>103.28915537848607</v>
      </c>
    </row>
    <row r="7" spans="2:10" x14ac:dyDescent="0.25">
      <c r="B7">
        <v>18</v>
      </c>
      <c r="C7">
        <v>77.5</v>
      </c>
      <c r="D7">
        <f t="shared" si="0"/>
        <v>11.811070866519689</v>
      </c>
      <c r="H7">
        <v>88.1</v>
      </c>
      <c r="I7">
        <v>353.8</v>
      </c>
      <c r="J7">
        <f>(I7-H7)*$J$3/($I$3-$H$3)</f>
        <v>101.04539243027891</v>
      </c>
    </row>
    <row r="8" spans="2:10" x14ac:dyDescent="0.25">
      <c r="B8">
        <v>17</v>
      </c>
      <c r="C8">
        <v>67</v>
      </c>
      <c r="D8">
        <f t="shared" si="0"/>
        <v>10.981858040061351</v>
      </c>
      <c r="H8">
        <v>68.5</v>
      </c>
      <c r="I8">
        <v>358.8</v>
      </c>
      <c r="J8">
        <f>(I8-H8)*$J$3/($I$3-$H$3)</f>
        <v>110.40074302788845</v>
      </c>
    </row>
    <row r="9" spans="2:10" x14ac:dyDescent="0.25">
      <c r="B9">
        <v>16</v>
      </c>
      <c r="C9">
        <v>57</v>
      </c>
      <c r="D9">
        <f t="shared" si="0"/>
        <v>10.129216455889374</v>
      </c>
      <c r="H9">
        <v>81</v>
      </c>
      <c r="I9">
        <v>350.1</v>
      </c>
      <c r="J9">
        <f>(I9-H9)*$J$3/($I$3-$H$3)</f>
        <v>102.33840836653388</v>
      </c>
    </row>
    <row r="10" spans="2:10" x14ac:dyDescent="0.25">
      <c r="B10">
        <v>15</v>
      </c>
      <c r="C10">
        <v>49.4</v>
      </c>
      <c r="D10">
        <f t="shared" si="0"/>
        <v>9.4297873363555809</v>
      </c>
      <c r="H10">
        <v>84.4</v>
      </c>
      <c r="I10">
        <v>346.7</v>
      </c>
      <c r="J10">
        <f>(I10-H10)*$J$3/($I$3-$H$3)</f>
        <v>99.752376494023878</v>
      </c>
    </row>
    <row r="11" spans="2:10" x14ac:dyDescent="0.25">
      <c r="B11">
        <v>14</v>
      </c>
      <c r="C11">
        <v>41.5</v>
      </c>
      <c r="D11">
        <f t="shared" si="0"/>
        <v>8.6429593894377454</v>
      </c>
      <c r="H11">
        <v>80.599999999999994</v>
      </c>
      <c r="I11">
        <v>340.9</v>
      </c>
      <c r="J11">
        <f>(I11-H11)*$J$3/($I$3-$H$3)</f>
        <v>98.991778884462136</v>
      </c>
    </row>
    <row r="12" spans="2:10" x14ac:dyDescent="0.25">
      <c r="B12">
        <v>13</v>
      </c>
      <c r="C12">
        <v>34.299999999999997</v>
      </c>
      <c r="D12">
        <f t="shared" si="0"/>
        <v>7.8575197999224962</v>
      </c>
      <c r="H12">
        <v>81</v>
      </c>
      <c r="I12">
        <v>328.3</v>
      </c>
      <c r="J12">
        <f>(I12-H12)*$J$3/($I$3-$H$3)</f>
        <v>94.047894422310762</v>
      </c>
    </row>
    <row r="13" spans="2:10" x14ac:dyDescent="0.25">
      <c r="B13">
        <v>12</v>
      </c>
      <c r="C13">
        <v>28.2</v>
      </c>
      <c r="D13">
        <f t="shared" si="0"/>
        <v>7.1246408755161861</v>
      </c>
      <c r="H13">
        <v>101.1</v>
      </c>
      <c r="I13">
        <v>306.10000000000002</v>
      </c>
      <c r="J13">
        <f>(I13-H13)*$J$3/($I$3-$H$3)</f>
        <v>77.961254980079687</v>
      </c>
    </row>
    <row r="14" spans="2:10" x14ac:dyDescent="0.25">
      <c r="B14">
        <v>11.5</v>
      </c>
      <c r="C14">
        <v>26</v>
      </c>
      <c r="D14">
        <f t="shared" si="0"/>
        <v>6.8410867561141222</v>
      </c>
      <c r="H14">
        <v>0</v>
      </c>
      <c r="I14">
        <v>0</v>
      </c>
      <c r="J14">
        <f>(I14-H14)*$J$3/($I$3-$H$3)</f>
        <v>0</v>
      </c>
    </row>
    <row r="15" spans="2:10" x14ac:dyDescent="0.25">
      <c r="B15">
        <v>20</v>
      </c>
      <c r="C15">
        <v>99.1</v>
      </c>
      <c r="D15">
        <f t="shared" si="0"/>
        <v>13.355964353719958</v>
      </c>
      <c r="E15" s="1"/>
      <c r="G15" s="1"/>
      <c r="H15">
        <v>89.8</v>
      </c>
      <c r="I15">
        <v>353.4</v>
      </c>
      <c r="J15">
        <f t="shared" ref="J15:J18" si="1">(I15-H15)*$J$3/($I$3-$H$3)</f>
        <v>100.24676494023903</v>
      </c>
    </row>
    <row r="16" spans="2:10" x14ac:dyDescent="0.25">
      <c r="B16">
        <v>21</v>
      </c>
      <c r="C16">
        <v>110.8</v>
      </c>
      <c r="D16">
        <f t="shared" si="0"/>
        <v>14.122393367271151</v>
      </c>
      <c r="H16">
        <v>88.6</v>
      </c>
      <c r="I16">
        <v>347.6</v>
      </c>
      <c r="J16">
        <f t="shared" si="1"/>
        <v>98.49739043824701</v>
      </c>
    </row>
    <row r="17" spans="2:10" x14ac:dyDescent="0.25">
      <c r="B17">
        <v>22</v>
      </c>
      <c r="C17">
        <v>122.5</v>
      </c>
      <c r="D17">
        <f t="shared" si="0"/>
        <v>14.849316651686374</v>
      </c>
      <c r="H17">
        <v>87.7</v>
      </c>
      <c r="I17">
        <v>346.3</v>
      </c>
      <c r="J17">
        <f t="shared" si="1"/>
        <v>98.34527091633467</v>
      </c>
    </row>
    <row r="18" spans="2:10" x14ac:dyDescent="0.25">
      <c r="D18">
        <f t="shared" si="0"/>
        <v>0</v>
      </c>
      <c r="J18">
        <f t="shared" si="1"/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tabSelected="1" workbookViewId="0">
      <selection activeCell="J14" activeCellId="3" sqref="D5:D12 D14:D16 J5:J12 J14:J16"/>
    </sheetView>
  </sheetViews>
  <sheetFormatPr defaultRowHeight="15" x14ac:dyDescent="0.25"/>
  <cols>
    <col min="5" max="5" width="21.42578125" customWidth="1"/>
    <col min="8" max="8" width="14.5703125" customWidth="1"/>
    <col min="9" max="9" width="15.42578125" customWidth="1"/>
  </cols>
  <sheetData>
    <row r="2" spans="2:10" x14ac:dyDescent="0.25">
      <c r="B2" t="s">
        <v>0</v>
      </c>
      <c r="C2" t="s">
        <v>1</v>
      </c>
      <c r="D2" t="s">
        <v>19</v>
      </c>
      <c r="E2" t="s">
        <v>2</v>
      </c>
      <c r="F2" t="s">
        <v>5</v>
      </c>
      <c r="G2" t="s">
        <v>10</v>
      </c>
      <c r="H2" t="s">
        <v>6</v>
      </c>
      <c r="I2" t="s">
        <v>7</v>
      </c>
      <c r="J2" t="s">
        <v>9</v>
      </c>
    </row>
    <row r="3" spans="2:10" x14ac:dyDescent="0.25">
      <c r="D3">
        <v>0</v>
      </c>
      <c r="F3" t="s">
        <v>34</v>
      </c>
      <c r="H3">
        <v>104.5</v>
      </c>
      <c r="I3">
        <v>302.8</v>
      </c>
      <c r="J3">
        <v>76.364000000000004</v>
      </c>
    </row>
    <row r="4" spans="2:10" x14ac:dyDescent="0.25">
      <c r="D4">
        <f>SQRT(2*C4/1.1111)</f>
        <v>0</v>
      </c>
      <c r="H4">
        <v>6.98</v>
      </c>
      <c r="I4">
        <v>400.7</v>
      </c>
      <c r="J4">
        <f>(I4-H4)*$J$3/($I$3-$H$3)</f>
        <v>151.61893131618757</v>
      </c>
    </row>
    <row r="5" spans="2:10" x14ac:dyDescent="0.25">
      <c r="B5">
        <v>20.9</v>
      </c>
      <c r="C5">
        <v>108.8</v>
      </c>
      <c r="D5">
        <f t="shared" ref="D5:D18" si="0">SQRT(2*C5/1.1111)</f>
        <v>13.994354519576248</v>
      </c>
      <c r="H5">
        <v>61.8</v>
      </c>
      <c r="I5">
        <v>329.6</v>
      </c>
      <c r="J5">
        <f>(I5-H5)*$J$3/($I$3-$H$3)</f>
        <v>103.12798386283409</v>
      </c>
    </row>
    <row r="6" spans="2:10" x14ac:dyDescent="0.25">
      <c r="B6">
        <v>20</v>
      </c>
      <c r="C6">
        <v>98.5</v>
      </c>
      <c r="D6">
        <f t="shared" si="0"/>
        <v>13.315471190225683</v>
      </c>
      <c r="H6">
        <v>63.5</v>
      </c>
      <c r="I6">
        <v>325.39999999999998</v>
      </c>
      <c r="J6">
        <f>(I6-H6)*$J$3/($I$3-$H$3)</f>
        <v>100.8559334341906</v>
      </c>
    </row>
    <row r="7" spans="2:10" x14ac:dyDescent="0.25">
      <c r="B7">
        <v>19</v>
      </c>
      <c r="C7">
        <v>87.8</v>
      </c>
      <c r="D7">
        <f t="shared" si="0"/>
        <v>12.571458961306128</v>
      </c>
      <c r="H7">
        <v>66</v>
      </c>
      <c r="I7">
        <v>321.60000000000002</v>
      </c>
      <c r="J7">
        <f>(I7-H7)*$J$3/($I$3-$H$3)</f>
        <v>98.429845688350994</v>
      </c>
    </row>
    <row r="8" spans="2:10" x14ac:dyDescent="0.25">
      <c r="B8">
        <v>18</v>
      </c>
      <c r="C8">
        <v>77.8</v>
      </c>
      <c r="D8">
        <f t="shared" si="0"/>
        <v>11.833908923682154</v>
      </c>
      <c r="H8">
        <v>73.099999999999994</v>
      </c>
      <c r="I8">
        <v>310.3</v>
      </c>
      <c r="J8">
        <f>(I8-H8)*$J$3/($I$3-$H$3)</f>
        <v>91.344129097327283</v>
      </c>
    </row>
    <row r="9" spans="2:10" x14ac:dyDescent="0.25">
      <c r="B9">
        <v>17</v>
      </c>
      <c r="C9">
        <v>66.599999999999994</v>
      </c>
      <c r="D9">
        <f t="shared" si="0"/>
        <v>10.949027299810158</v>
      </c>
      <c r="H9">
        <v>82.7</v>
      </c>
      <c r="I9">
        <v>297.8</v>
      </c>
      <c r="J9">
        <f>(I9-H9)*$J$3/($I$3-$H$3)</f>
        <v>82.833567322239034</v>
      </c>
    </row>
    <row r="10" spans="2:10" x14ac:dyDescent="0.25">
      <c r="B10">
        <v>16</v>
      </c>
      <c r="C10">
        <v>57.2</v>
      </c>
      <c r="D10">
        <f t="shared" si="0"/>
        <v>10.146971450156746</v>
      </c>
      <c r="H10">
        <v>81.400000000000006</v>
      </c>
      <c r="I10">
        <v>318.7</v>
      </c>
      <c r="J10">
        <f>(I10-H10)*$J$3/($I$3-$H$3)</f>
        <v>91.382638426626315</v>
      </c>
    </row>
    <row r="11" spans="2:10" x14ac:dyDescent="0.25">
      <c r="B11">
        <v>15</v>
      </c>
      <c r="C11">
        <v>48.3</v>
      </c>
      <c r="D11">
        <f t="shared" si="0"/>
        <v>9.3242087819124944</v>
      </c>
      <c r="H11">
        <v>81.400000000000006</v>
      </c>
      <c r="I11">
        <v>327.5</v>
      </c>
      <c r="J11">
        <f>(I11-H11)*$J$3/($I$3-$H$3)</f>
        <v>94.771459404942007</v>
      </c>
    </row>
    <row r="12" spans="2:10" x14ac:dyDescent="0.25">
      <c r="B12">
        <v>14</v>
      </c>
      <c r="C12">
        <v>40.9</v>
      </c>
      <c r="D12">
        <f t="shared" si="0"/>
        <v>8.5802526890157544</v>
      </c>
      <c r="H12">
        <v>99.5</v>
      </c>
      <c r="I12">
        <v>310.3</v>
      </c>
      <c r="J12">
        <f>(I12-H12)*$J$3/($I$3-$H$3)</f>
        <v>81.177666162380234</v>
      </c>
    </row>
    <row r="13" spans="2:10" x14ac:dyDescent="0.25">
      <c r="B13">
        <v>13.5</v>
      </c>
      <c r="C13">
        <v>0</v>
      </c>
      <c r="D13">
        <f t="shared" si="0"/>
        <v>0</v>
      </c>
      <c r="J13">
        <f>(I13-H13)*$J$3/($I$3-$H$3)</f>
        <v>0</v>
      </c>
    </row>
    <row r="14" spans="2:10" x14ac:dyDescent="0.25">
      <c r="B14">
        <v>22</v>
      </c>
      <c r="C14">
        <v>123.4</v>
      </c>
      <c r="D14">
        <f t="shared" si="0"/>
        <v>14.903765337062048</v>
      </c>
      <c r="H14">
        <v>63</v>
      </c>
      <c r="I14">
        <v>333.3</v>
      </c>
      <c r="J14">
        <f>(I14-H14)*$J$3/($I$3-$H$3)</f>
        <v>104.09071709531014</v>
      </c>
    </row>
    <row r="15" spans="2:10" x14ac:dyDescent="0.25">
      <c r="B15">
        <v>23</v>
      </c>
      <c r="C15">
        <v>135.19999999999999</v>
      </c>
      <c r="D15">
        <f t="shared" si="0"/>
        <v>15.600078000585004</v>
      </c>
      <c r="E15" s="1"/>
      <c r="G15" s="1"/>
      <c r="H15">
        <v>71.400000000000006</v>
      </c>
      <c r="I15">
        <v>335.4</v>
      </c>
      <c r="J15">
        <f t="shared" ref="J15:J18" si="1">(I15-H15)*$J$3/($I$3-$H$3)</f>
        <v>101.6646293494705</v>
      </c>
    </row>
    <row r="16" spans="2:10" x14ac:dyDescent="0.25">
      <c r="B16">
        <v>24</v>
      </c>
      <c r="C16">
        <v>148</v>
      </c>
      <c r="D16">
        <f t="shared" si="0"/>
        <v>16.321846219917656</v>
      </c>
      <c r="H16">
        <v>70.599999999999994</v>
      </c>
      <c r="I16">
        <v>341.3</v>
      </c>
      <c r="J16">
        <f t="shared" si="1"/>
        <v>104.24475441250632</v>
      </c>
    </row>
    <row r="17" spans="4:10" x14ac:dyDescent="0.25">
      <c r="D17">
        <f t="shared" si="0"/>
        <v>0</v>
      </c>
      <c r="J17">
        <f t="shared" si="1"/>
        <v>0</v>
      </c>
    </row>
    <row r="18" spans="4:10" x14ac:dyDescent="0.25">
      <c r="D18">
        <f t="shared" si="0"/>
        <v>0</v>
      </c>
      <c r="J18">
        <f t="shared" si="1"/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workbookViewId="0">
      <selection activeCell="C27" sqref="C27"/>
    </sheetView>
  </sheetViews>
  <sheetFormatPr defaultRowHeight="15" x14ac:dyDescent="0.25"/>
  <cols>
    <col min="8" max="8" width="14.5703125" customWidth="1"/>
    <col min="9" max="9" width="15.42578125" customWidth="1"/>
  </cols>
  <sheetData>
    <row r="2" spans="2:10" x14ac:dyDescent="0.25">
      <c r="B2" t="s">
        <v>0</v>
      </c>
      <c r="C2" t="s">
        <v>1</v>
      </c>
      <c r="D2" t="s">
        <v>19</v>
      </c>
      <c r="E2" t="s">
        <v>2</v>
      </c>
      <c r="F2" t="s">
        <v>5</v>
      </c>
      <c r="G2" t="s">
        <v>10</v>
      </c>
      <c r="H2" t="s">
        <v>6</v>
      </c>
      <c r="I2" t="s">
        <v>7</v>
      </c>
      <c r="J2" t="s">
        <v>9</v>
      </c>
    </row>
    <row r="3" spans="2:10" x14ac:dyDescent="0.25">
      <c r="D3">
        <v>0</v>
      </c>
      <c r="F3" t="s">
        <v>8</v>
      </c>
      <c r="G3" t="s">
        <v>12</v>
      </c>
      <c r="H3">
        <v>27</v>
      </c>
      <c r="I3">
        <v>298</v>
      </c>
      <c r="J3">
        <v>76.364000000000004</v>
      </c>
    </row>
    <row r="4" spans="2:10" x14ac:dyDescent="0.25">
      <c r="B4">
        <v>20.2</v>
      </c>
      <c r="C4">
        <v>98.8</v>
      </c>
      <c r="D4">
        <f>SQRT(2*C4/1.1111)</f>
        <v>13.335733141368125</v>
      </c>
      <c r="E4">
        <v>11.41</v>
      </c>
      <c r="F4" t="s">
        <v>3</v>
      </c>
      <c r="G4" t="s">
        <v>13</v>
      </c>
      <c r="H4">
        <v>17.864000000000001</v>
      </c>
      <c r="I4">
        <v>378.53</v>
      </c>
      <c r="J4">
        <f>(I4-H4)*$J$3/($I$3-$H$3)</f>
        <v>101.63062149077491</v>
      </c>
    </row>
    <row r="5" spans="2:10" x14ac:dyDescent="0.25">
      <c r="B5">
        <v>21</v>
      </c>
      <c r="C5">
        <v>109</v>
      </c>
      <c r="D5">
        <f t="shared" ref="D5:D11" si="0">SQRT(2*C5/1.1111)</f>
        <v>14.007211072144955</v>
      </c>
      <c r="E5">
        <v>11.42</v>
      </c>
      <c r="G5" t="s">
        <v>11</v>
      </c>
      <c r="H5">
        <v>15.35</v>
      </c>
      <c r="I5">
        <v>388.99</v>
      </c>
      <c r="J5">
        <f>(I5-H5)*$J$3/($I$3-$H$3)</f>
        <v>105.28651276752768</v>
      </c>
    </row>
    <row r="6" spans="2:10" x14ac:dyDescent="0.25">
      <c r="B6">
        <v>19</v>
      </c>
      <c r="C6">
        <v>85.6</v>
      </c>
      <c r="D6">
        <f t="shared" si="0"/>
        <v>12.412958584294405</v>
      </c>
      <c r="G6" t="s">
        <v>14</v>
      </c>
      <c r="H6">
        <v>25.8</v>
      </c>
      <c r="I6">
        <v>359.3</v>
      </c>
      <c r="J6">
        <f>(I6-H6)*$J$3/($I$3-$H$3)</f>
        <v>93.975623616236163</v>
      </c>
    </row>
    <row r="7" spans="2:10" x14ac:dyDescent="0.25">
      <c r="B7">
        <v>18</v>
      </c>
      <c r="C7">
        <v>74.900000000000006</v>
      </c>
      <c r="D7">
        <f t="shared" si="0"/>
        <v>11.611259544661042</v>
      </c>
      <c r="G7" t="s">
        <v>15</v>
      </c>
      <c r="H7">
        <v>40.450000000000003</v>
      </c>
      <c r="I7">
        <v>343.4</v>
      </c>
      <c r="J7">
        <f>(I7-H7)*$J$3/($I$3-$H$3)</f>
        <v>85.367061992619924</v>
      </c>
    </row>
    <row r="8" spans="2:10" x14ac:dyDescent="0.25">
      <c r="B8">
        <v>17.7</v>
      </c>
      <c r="C8">
        <v>71.900000000000006</v>
      </c>
      <c r="D8">
        <f t="shared" si="0"/>
        <v>11.376348017397417</v>
      </c>
      <c r="F8" t="s">
        <v>4</v>
      </c>
      <c r="J8">
        <f>(I8-H8)*$J$3/($I$3-$H$3)</f>
        <v>0</v>
      </c>
    </row>
    <row r="9" spans="2:10" x14ac:dyDescent="0.25">
      <c r="B9">
        <v>19.5</v>
      </c>
      <c r="C9">
        <v>91.2</v>
      </c>
      <c r="D9">
        <f t="shared" si="0"/>
        <v>12.812557965387558</v>
      </c>
      <c r="E9">
        <v>11.45</v>
      </c>
      <c r="G9" t="s">
        <v>16</v>
      </c>
      <c r="H9">
        <v>22.47</v>
      </c>
      <c r="I9">
        <v>367.2</v>
      </c>
      <c r="J9">
        <f>(I9-H9)*$J$3/($I$3-$H$3)</f>
        <v>97.140080147601481</v>
      </c>
    </row>
    <row r="10" spans="2:10" x14ac:dyDescent="0.25">
      <c r="B10">
        <v>18.5</v>
      </c>
      <c r="C10">
        <v>80.3</v>
      </c>
      <c r="D10">
        <f t="shared" si="0"/>
        <v>12.022539058553901</v>
      </c>
      <c r="G10" t="s">
        <v>17</v>
      </c>
      <c r="H10">
        <v>31.67</v>
      </c>
      <c r="I10">
        <v>355.1</v>
      </c>
      <c r="J10">
        <f>(I10-H10)*$J$3/($I$3-$H$3)</f>
        <v>91.138038819188196</v>
      </c>
    </row>
    <row r="11" spans="2:10" x14ac:dyDescent="0.25">
      <c r="B11">
        <v>22</v>
      </c>
      <c r="C11">
        <v>119.2</v>
      </c>
      <c r="D11">
        <f t="shared" si="0"/>
        <v>14.647939978763437</v>
      </c>
      <c r="G11" t="s">
        <v>18</v>
      </c>
      <c r="H11">
        <v>12.84</v>
      </c>
      <c r="I11">
        <v>395.3</v>
      </c>
      <c r="J11">
        <f>(I11-H11)*$J$3/($I$3-$H$3)</f>
        <v>107.77186509225093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8"/>
  <sheetViews>
    <sheetView workbookViewId="0">
      <selection activeCell="I19" sqref="I19"/>
    </sheetView>
  </sheetViews>
  <sheetFormatPr defaultRowHeight="15" x14ac:dyDescent="0.25"/>
  <cols>
    <col min="5" max="5" width="21.42578125" customWidth="1"/>
    <col min="8" max="8" width="14.5703125" customWidth="1"/>
    <col min="9" max="9" width="15.42578125" customWidth="1"/>
  </cols>
  <sheetData>
    <row r="2" spans="2:10" x14ac:dyDescent="0.25">
      <c r="B2" t="s">
        <v>0</v>
      </c>
      <c r="C2" t="s">
        <v>1</v>
      </c>
      <c r="D2" t="s">
        <v>19</v>
      </c>
      <c r="E2" t="s">
        <v>2</v>
      </c>
      <c r="F2" t="s">
        <v>5</v>
      </c>
      <c r="G2" t="s">
        <v>10</v>
      </c>
      <c r="H2" t="s">
        <v>6</v>
      </c>
      <c r="I2" t="s">
        <v>7</v>
      </c>
      <c r="J2" t="s">
        <v>9</v>
      </c>
    </row>
    <row r="3" spans="2:10" x14ac:dyDescent="0.25">
      <c r="D3">
        <v>0</v>
      </c>
      <c r="F3" t="s">
        <v>8</v>
      </c>
      <c r="G3" t="s">
        <v>22</v>
      </c>
      <c r="H3">
        <v>52.59</v>
      </c>
      <c r="I3">
        <v>355.52</v>
      </c>
      <c r="J3">
        <v>76.364000000000004</v>
      </c>
    </row>
    <row r="4" spans="2:10" x14ac:dyDescent="0.25">
      <c r="B4">
        <v>20.8</v>
      </c>
      <c r="C4">
        <v>105.7</v>
      </c>
      <c r="D4">
        <f>SQRT(2*C4/1.1111)</f>
        <v>13.793545686988034</v>
      </c>
      <c r="F4" t="s">
        <v>21</v>
      </c>
      <c r="G4" t="s">
        <v>20</v>
      </c>
      <c r="H4">
        <v>0.70899999999999996</v>
      </c>
      <c r="I4">
        <v>399.5</v>
      </c>
      <c r="J4">
        <f>(I4-H4)*$J$3/($I$3-$H$3)</f>
        <v>100.52908567655896</v>
      </c>
    </row>
    <row r="5" spans="2:10" x14ac:dyDescent="0.25">
      <c r="B5">
        <v>22</v>
      </c>
      <c r="C5">
        <v>119.7</v>
      </c>
      <c r="D5">
        <f t="shared" ref="D5:D18" si="0">SQRT(2*C5/1.1111)</f>
        <v>14.678629180599469</v>
      </c>
      <c r="H5">
        <v>1.5</v>
      </c>
      <c r="I5">
        <v>406.1</v>
      </c>
      <c r="J5">
        <f>(I5-H5)*$J$3/($I$3-$H$3)</f>
        <v>101.99344535041102</v>
      </c>
    </row>
    <row r="6" spans="2:10" x14ac:dyDescent="0.25">
      <c r="B6">
        <v>23</v>
      </c>
      <c r="C6">
        <v>131.80000000000001</v>
      </c>
      <c r="D6">
        <f t="shared" si="0"/>
        <v>15.402674197155644</v>
      </c>
      <c r="H6">
        <v>2.38</v>
      </c>
      <c r="I6">
        <v>405.7</v>
      </c>
      <c r="J6">
        <f>(I6-H6)*$J$3/($I$3-$H$3)</f>
        <v>101.67077701119074</v>
      </c>
    </row>
    <row r="7" spans="2:10" x14ac:dyDescent="0.25">
      <c r="B7">
        <v>20</v>
      </c>
      <c r="C7">
        <v>96.4</v>
      </c>
      <c r="D7">
        <f t="shared" si="0"/>
        <v>13.17276490404927</v>
      </c>
      <c r="H7">
        <v>0</v>
      </c>
      <c r="I7">
        <v>396</v>
      </c>
      <c r="J7">
        <f>(I7-H7)*$J$3/($I$3-$H$3)</f>
        <v>99.825517446274731</v>
      </c>
    </row>
    <row r="8" spans="2:10" x14ac:dyDescent="0.25">
      <c r="B8">
        <v>19.5</v>
      </c>
      <c r="C8">
        <v>91.5</v>
      </c>
      <c r="D8">
        <f t="shared" si="0"/>
        <v>12.833613949954634</v>
      </c>
      <c r="H8">
        <v>2</v>
      </c>
      <c r="I8">
        <v>390</v>
      </c>
      <c r="J8">
        <f>(I8-H8)*$J$3/($I$3-$H$3)</f>
        <v>97.808840326147973</v>
      </c>
    </row>
    <row r="9" spans="2:10" x14ac:dyDescent="0.25">
      <c r="B9">
        <v>19</v>
      </c>
      <c r="C9">
        <v>86</v>
      </c>
      <c r="D9">
        <f t="shared" si="0"/>
        <v>12.441927021787267</v>
      </c>
      <c r="H9">
        <v>5.7</v>
      </c>
      <c r="I9">
        <v>381.9</v>
      </c>
      <c r="J9">
        <f>(I9-H9)*$J$3/($I$3-$H$3)</f>
        <v>94.834241573960995</v>
      </c>
    </row>
    <row r="10" spans="2:10" x14ac:dyDescent="0.25">
      <c r="B10">
        <v>18.5</v>
      </c>
      <c r="C10">
        <v>80.5</v>
      </c>
      <c r="D10">
        <f t="shared" si="0"/>
        <v>12.037501776302678</v>
      </c>
      <c r="H10">
        <v>7.8</v>
      </c>
      <c r="I10">
        <v>379.8</v>
      </c>
      <c r="J10">
        <f>(I10-H10)*$J$3/($I$3-$H$3)</f>
        <v>93.775486085894457</v>
      </c>
    </row>
    <row r="11" spans="2:10" x14ac:dyDescent="0.25">
      <c r="B11">
        <v>18</v>
      </c>
      <c r="C11">
        <v>75.7</v>
      </c>
      <c r="D11">
        <f t="shared" si="0"/>
        <v>11.67310424067335</v>
      </c>
      <c r="H11">
        <v>12</v>
      </c>
      <c r="I11">
        <v>371.8</v>
      </c>
      <c r="J11">
        <f>(I11-H11)*$J$3/($I$3-$H$3)</f>
        <v>90.700053477701147</v>
      </c>
    </row>
    <row r="12" spans="2:10" x14ac:dyDescent="0.25">
      <c r="B12">
        <v>17.5</v>
      </c>
      <c r="C12">
        <v>70.2</v>
      </c>
      <c r="D12">
        <f t="shared" si="0"/>
        <v>11.241052602520643</v>
      </c>
      <c r="H12">
        <v>17.399999999999999</v>
      </c>
      <c r="I12">
        <v>367.2</v>
      </c>
      <c r="J12">
        <f>(I12-H12)*$J$3/($I$3-$H$3)</f>
        <v>88.179207077542685</v>
      </c>
    </row>
    <row r="13" spans="2:10" x14ac:dyDescent="0.25">
      <c r="B13">
        <v>17</v>
      </c>
      <c r="C13">
        <v>65</v>
      </c>
      <c r="D13">
        <f t="shared" si="0"/>
        <v>10.816707910066729</v>
      </c>
      <c r="H13">
        <v>24.6</v>
      </c>
      <c r="I13">
        <v>361.8</v>
      </c>
      <c r="J13">
        <f>(I13-H13)*$J$3/($I$3-$H$3)</f>
        <v>85.002940613343029</v>
      </c>
    </row>
    <row r="14" spans="2:10" x14ac:dyDescent="0.25">
      <c r="B14">
        <v>16.5</v>
      </c>
      <c r="C14">
        <v>61</v>
      </c>
      <c r="D14">
        <f t="shared" si="0"/>
        <v>10.478601911084327</v>
      </c>
      <c r="H14">
        <v>31.67</v>
      </c>
      <c r="I14">
        <v>346.7</v>
      </c>
      <c r="J14">
        <f>(I14-H14)*$J$3/($I$3-$H$3)</f>
        <v>79.414224144191735</v>
      </c>
    </row>
    <row r="15" spans="2:10" x14ac:dyDescent="0.25">
      <c r="B15">
        <v>16</v>
      </c>
      <c r="C15">
        <v>57</v>
      </c>
      <c r="D15">
        <f t="shared" si="0"/>
        <v>10.129216455889374</v>
      </c>
      <c r="E15" s="1" t="s">
        <v>24</v>
      </c>
      <c r="G15" s="1" t="s">
        <v>24</v>
      </c>
      <c r="J15">
        <f t="shared" ref="J15:J18" si="1">(I15-H15)*$J$3/($I$3-$H$3)</f>
        <v>0</v>
      </c>
    </row>
    <row r="16" spans="2:10" x14ac:dyDescent="0.25">
      <c r="B16">
        <v>24</v>
      </c>
      <c r="C16">
        <v>144</v>
      </c>
      <c r="D16">
        <f t="shared" si="0"/>
        <v>16.09976993704942</v>
      </c>
      <c r="F16" t="s">
        <v>25</v>
      </c>
      <c r="H16">
        <v>0</v>
      </c>
      <c r="I16">
        <v>0</v>
      </c>
      <c r="J16">
        <f t="shared" si="1"/>
        <v>0</v>
      </c>
    </row>
    <row r="17" spans="2:10" x14ac:dyDescent="0.25">
      <c r="B17">
        <v>25</v>
      </c>
      <c r="C17">
        <v>158</v>
      </c>
      <c r="D17">
        <f t="shared" si="0"/>
        <v>16.864247508514584</v>
      </c>
      <c r="J17">
        <f t="shared" si="1"/>
        <v>0</v>
      </c>
    </row>
    <row r="18" spans="2:10" x14ac:dyDescent="0.25">
      <c r="B18">
        <v>26</v>
      </c>
      <c r="C18">
        <v>173</v>
      </c>
      <c r="D18">
        <f t="shared" si="0"/>
        <v>17.64661763713206</v>
      </c>
      <c r="G18" t="s">
        <v>23</v>
      </c>
      <c r="J18">
        <f t="shared" si="1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0"/>
  <sheetViews>
    <sheetView workbookViewId="0">
      <selection activeCell="I4" sqref="I4"/>
    </sheetView>
  </sheetViews>
  <sheetFormatPr defaultRowHeight="15" x14ac:dyDescent="0.25"/>
  <cols>
    <col min="8" max="8" width="14.5703125" customWidth="1"/>
    <col min="9" max="9" width="15.42578125" customWidth="1"/>
  </cols>
  <sheetData>
    <row r="2" spans="2:10" x14ac:dyDescent="0.25">
      <c r="B2" t="s">
        <v>0</v>
      </c>
      <c r="C2" t="s">
        <v>1</v>
      </c>
      <c r="D2" t="s">
        <v>19</v>
      </c>
      <c r="E2" t="s">
        <v>2</v>
      </c>
      <c r="F2" t="s">
        <v>5</v>
      </c>
      <c r="G2" t="s">
        <v>10</v>
      </c>
      <c r="H2" t="s">
        <v>6</v>
      </c>
      <c r="I2" t="s">
        <v>7</v>
      </c>
      <c r="J2" t="s">
        <v>9</v>
      </c>
    </row>
    <row r="3" spans="2:10" x14ac:dyDescent="0.25">
      <c r="D3">
        <v>0</v>
      </c>
      <c r="F3" t="s">
        <v>8</v>
      </c>
      <c r="G3" t="s">
        <v>26</v>
      </c>
      <c r="H3">
        <v>141.69999999999999</v>
      </c>
      <c r="I3">
        <v>299.87</v>
      </c>
      <c r="J3">
        <f>76.364/2</f>
        <v>38.182000000000002</v>
      </c>
    </row>
    <row r="4" spans="2:10" x14ac:dyDescent="0.25">
      <c r="B4">
        <v>21.2</v>
      </c>
      <c r="C4">
        <v>110.6</v>
      </c>
      <c r="D4">
        <f>SQRT(2*C4/1.1111)</f>
        <v>14.109641767951027</v>
      </c>
      <c r="F4" t="s">
        <v>3</v>
      </c>
      <c r="G4" t="s">
        <v>27</v>
      </c>
      <c r="J4">
        <f>(I4-H4)*$J$3/($I$3-$H$3)</f>
        <v>0</v>
      </c>
    </row>
    <row r="5" spans="2:10" x14ac:dyDescent="0.25">
      <c r="B5">
        <v>20.5</v>
      </c>
      <c r="C5">
        <v>102.2</v>
      </c>
      <c r="D5">
        <f t="shared" ref="D5:D20" si="0">SQRT(2*C5/1.1111)</f>
        <v>13.563253282984736</v>
      </c>
      <c r="J5">
        <f>(I5-H5)*$J$3/($I$3-$H$3)</f>
        <v>0</v>
      </c>
    </row>
    <row r="6" spans="2:10" x14ac:dyDescent="0.25">
      <c r="B6">
        <v>20</v>
      </c>
      <c r="C6">
        <v>96.7</v>
      </c>
      <c r="D6">
        <f t="shared" si="0"/>
        <v>13.193246022772643</v>
      </c>
      <c r="J6">
        <f>(I6-H6)*$J$3/($I$3-$H$3)</f>
        <v>0</v>
      </c>
    </row>
    <row r="7" spans="2:10" x14ac:dyDescent="0.25">
      <c r="B7">
        <v>19</v>
      </c>
      <c r="C7">
        <v>86.3</v>
      </c>
      <c r="D7">
        <f t="shared" si="0"/>
        <v>12.463609164906213</v>
      </c>
      <c r="J7">
        <f>(I7-H7)*$J$3/($I$3-$H$3)</f>
        <v>0</v>
      </c>
    </row>
    <row r="8" spans="2:10" x14ac:dyDescent="0.25">
      <c r="B8">
        <v>18</v>
      </c>
      <c r="C8">
        <v>75.7</v>
      </c>
      <c r="D8">
        <f t="shared" si="0"/>
        <v>11.67310424067335</v>
      </c>
      <c r="J8">
        <f>(I8-H8)*$J$3/($I$3-$H$3)</f>
        <v>0</v>
      </c>
    </row>
    <row r="9" spans="2:10" x14ac:dyDescent="0.25">
      <c r="B9">
        <v>17</v>
      </c>
      <c r="C9">
        <v>66</v>
      </c>
      <c r="D9">
        <f t="shared" si="0"/>
        <v>10.89959577286608</v>
      </c>
      <c r="J9">
        <f>(I9-H9)*$J$3/($I$3-$H$3)</f>
        <v>0</v>
      </c>
    </row>
    <row r="10" spans="2:10" x14ac:dyDescent="0.25">
      <c r="B10">
        <v>16</v>
      </c>
      <c r="C10">
        <v>56</v>
      </c>
      <c r="D10">
        <f t="shared" si="0"/>
        <v>10.039970518386999</v>
      </c>
      <c r="J10">
        <f>(I10-H10)*$J$3/($I$3-$H$3)</f>
        <v>0</v>
      </c>
    </row>
    <row r="11" spans="2:10" x14ac:dyDescent="0.25">
      <c r="B11">
        <v>15</v>
      </c>
      <c r="C11">
        <v>47.5</v>
      </c>
      <c r="D11">
        <f t="shared" si="0"/>
        <v>9.246667237905239</v>
      </c>
      <c r="J11">
        <f>(I11-H11)*$J$3/($I$3-$H$3)</f>
        <v>0</v>
      </c>
    </row>
    <row r="12" spans="2:10" x14ac:dyDescent="0.25">
      <c r="B12">
        <v>14</v>
      </c>
      <c r="C12">
        <v>39.799999999999997</v>
      </c>
      <c r="D12">
        <f t="shared" si="0"/>
        <v>8.4640839083248736</v>
      </c>
    </row>
    <row r="13" spans="2:10" x14ac:dyDescent="0.25">
      <c r="B13">
        <v>13</v>
      </c>
      <c r="C13">
        <v>33.5</v>
      </c>
      <c r="D13">
        <f t="shared" si="0"/>
        <v>7.7653462901553887</v>
      </c>
    </row>
    <row r="14" spans="2:10" x14ac:dyDescent="0.25">
      <c r="B14">
        <v>12</v>
      </c>
      <c r="C14">
        <v>27.6</v>
      </c>
      <c r="D14">
        <f t="shared" si="0"/>
        <v>7.0484393169671291</v>
      </c>
    </row>
    <row r="15" spans="2:10" x14ac:dyDescent="0.25">
      <c r="B15">
        <v>11.4</v>
      </c>
      <c r="C15">
        <v>24.3</v>
      </c>
      <c r="D15">
        <f t="shared" si="0"/>
        <v>6.6136553738741215</v>
      </c>
      <c r="F15" t="s">
        <v>4</v>
      </c>
    </row>
    <row r="16" spans="2:10" x14ac:dyDescent="0.25">
      <c r="B16">
        <v>22</v>
      </c>
      <c r="C16">
        <v>121.1</v>
      </c>
      <c r="D16">
        <f t="shared" si="0"/>
        <v>14.764219580519596</v>
      </c>
    </row>
    <row r="17" spans="2:7" x14ac:dyDescent="0.25">
      <c r="B17">
        <v>23</v>
      </c>
      <c r="C17">
        <v>133</v>
      </c>
      <c r="D17">
        <f t="shared" si="0"/>
        <v>15.472633713235128</v>
      </c>
    </row>
    <row r="18" spans="2:7" x14ac:dyDescent="0.25">
      <c r="B18">
        <v>24</v>
      </c>
      <c r="C18">
        <v>145</v>
      </c>
      <c r="D18">
        <f t="shared" si="0"/>
        <v>16.155575199481454</v>
      </c>
    </row>
    <row r="19" spans="2:7" x14ac:dyDescent="0.25">
      <c r="B19">
        <v>25</v>
      </c>
      <c r="C19">
        <v>158</v>
      </c>
      <c r="D19">
        <f t="shared" si="0"/>
        <v>16.864247508514584</v>
      </c>
    </row>
    <row r="20" spans="2:7" x14ac:dyDescent="0.25">
      <c r="B20">
        <v>26</v>
      </c>
      <c r="C20">
        <v>173</v>
      </c>
      <c r="D20">
        <f t="shared" si="0"/>
        <v>17.64661763713206</v>
      </c>
      <c r="G20" t="s">
        <v>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1"/>
  <sheetViews>
    <sheetView workbookViewId="0">
      <selection activeCell="H13" sqref="H13"/>
    </sheetView>
  </sheetViews>
  <sheetFormatPr defaultRowHeight="15" x14ac:dyDescent="0.25"/>
  <cols>
    <col min="8" max="8" width="14.5703125" customWidth="1"/>
    <col min="9" max="9" width="15.42578125" customWidth="1"/>
  </cols>
  <sheetData>
    <row r="2" spans="2:10" x14ac:dyDescent="0.25">
      <c r="B2" t="s">
        <v>0</v>
      </c>
      <c r="C2" t="s">
        <v>1</v>
      </c>
      <c r="D2" t="s">
        <v>19</v>
      </c>
      <c r="E2" t="s">
        <v>2</v>
      </c>
      <c r="F2" t="s">
        <v>5</v>
      </c>
      <c r="G2" t="s">
        <v>10</v>
      </c>
      <c r="H2" t="s">
        <v>6</v>
      </c>
      <c r="I2" t="s">
        <v>7</v>
      </c>
      <c r="J2" t="s">
        <v>9</v>
      </c>
    </row>
    <row r="3" spans="2:10" x14ac:dyDescent="0.25">
      <c r="D3">
        <v>0</v>
      </c>
      <c r="F3" t="s">
        <v>8</v>
      </c>
      <c r="G3" t="s">
        <v>12</v>
      </c>
      <c r="H3">
        <v>27</v>
      </c>
      <c r="I3">
        <v>298</v>
      </c>
      <c r="J3">
        <v>76.364000000000004</v>
      </c>
    </row>
    <row r="4" spans="2:10" x14ac:dyDescent="0.25">
      <c r="D4">
        <f>SQRT(2*C4/1.1111)</f>
        <v>0</v>
      </c>
      <c r="J4">
        <f>(I4-H4)*$J$3/($I$3-$H$3)</f>
        <v>0</v>
      </c>
    </row>
    <row r="5" spans="2:10" x14ac:dyDescent="0.25">
      <c r="D5">
        <f t="shared" ref="D5:D11" si="0">SQRT(2*C5/1.1111)</f>
        <v>0</v>
      </c>
      <c r="J5">
        <f>(I5-H5)*$J$3/($I$3-$H$3)</f>
        <v>0</v>
      </c>
    </row>
    <row r="6" spans="2:10" x14ac:dyDescent="0.25">
      <c r="D6">
        <f t="shared" si="0"/>
        <v>0</v>
      </c>
      <c r="J6">
        <f>(I6-H6)*$J$3/($I$3-$H$3)</f>
        <v>0</v>
      </c>
    </row>
    <row r="7" spans="2:10" x14ac:dyDescent="0.25">
      <c r="D7">
        <f t="shared" si="0"/>
        <v>0</v>
      </c>
      <c r="J7">
        <f>(I7-H7)*$J$3/($I$3-$H$3)</f>
        <v>0</v>
      </c>
    </row>
    <row r="8" spans="2:10" x14ac:dyDescent="0.25">
      <c r="D8">
        <f t="shared" si="0"/>
        <v>0</v>
      </c>
      <c r="J8">
        <f>(I8-H8)*$J$3/($I$3-$H$3)</f>
        <v>0</v>
      </c>
    </row>
    <row r="9" spans="2:10" x14ac:dyDescent="0.25">
      <c r="D9">
        <f t="shared" si="0"/>
        <v>0</v>
      </c>
      <c r="J9">
        <f>(I9-H9)*$J$3/($I$3-$H$3)</f>
        <v>0</v>
      </c>
    </row>
    <row r="10" spans="2:10" x14ac:dyDescent="0.25">
      <c r="D10">
        <f t="shared" si="0"/>
        <v>0</v>
      </c>
      <c r="J10">
        <f>(I10-H10)*$J$3/($I$3-$H$3)</f>
        <v>0</v>
      </c>
    </row>
    <row r="11" spans="2:10" x14ac:dyDescent="0.25">
      <c r="D11">
        <f t="shared" si="0"/>
        <v>0</v>
      </c>
      <c r="J11">
        <f>(I11-H11)*$J$3/($I$3-$H$3)</f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Lisa</vt:lpstr>
      <vt:lpstr>Aserrada</vt:lpstr>
      <vt:lpstr>Almenada</vt:lpstr>
      <vt:lpstr>Almenada_old</vt:lpstr>
      <vt:lpstr>Almenada2_old</vt:lpstr>
      <vt:lpstr>Aserrada_old</vt:lpstr>
      <vt:lpstr>Plana_old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2026-05-20T16:57:39Z</dcterms:modified>
</cp:coreProperties>
</file>